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ryhisner/mp_subs_2026_03_10_8PM__EPCI_8_10_95__HQCS_5_1_5__minFsh5_grpFsh_2_RANDOM____FINAL_V3/"/>
    </mc:Choice>
  </mc:AlternateContent>
  <xr:revisionPtr revIDLastSave="0" documentId="13_ncr:1_{7D5557FB-A946-6245-9F65-29489F30045B}" xr6:coauthVersionLast="47" xr6:coauthVersionMax="47" xr10:uidLastSave="{00000000-0000-0000-0000-000000000000}"/>
  <bookViews>
    <workbookView xWindow="0" yWindow="760" windowWidth="24380" windowHeight="18880" xr2:uid="{039544B0-3E5C-9943-93BF-17D2F9BAF608}"/>
  </bookViews>
  <sheets>
    <sheet name="df_rand_MP_META_sorted_UNIQUE_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H29" i="1"/>
  <c r="G29" i="1"/>
  <c r="F29" i="1"/>
  <c r="E29" i="1"/>
  <c r="D29" i="1"/>
  <c r="C29" i="1"/>
  <c r="B29" i="1"/>
  <c r="J28" i="1"/>
  <c r="I28" i="1"/>
  <c r="H28" i="1"/>
  <c r="G28" i="1"/>
  <c r="F28" i="1"/>
  <c r="E28" i="1"/>
  <c r="D28" i="1"/>
  <c r="C28" i="1"/>
  <c r="B28" i="1"/>
</calcChain>
</file>

<file path=xl/sharedStrings.xml><?xml version="1.0" encoding="utf-8"?>
<sst xmlns="http://schemas.openxmlformats.org/spreadsheetml/2006/main" count="71" uniqueCount="49">
  <si>
    <t>Median_or_Mean</t>
  </si>
  <si>
    <t>Different_Muts_per_MP</t>
  </si>
  <si>
    <t>Different_Regions_per_MP</t>
  </si>
  <si>
    <t>Different_Muts_per_Region</t>
  </si>
  <si>
    <t>MP_Mut_ct_per_MPmut</t>
  </si>
  <si>
    <t>Total_MP_Mut_Count_per_Region</t>
  </si>
  <si>
    <t>Total_MP_Mut_Count_per_MP</t>
  </si>
  <si>
    <t>avg_NonRBD_AAct</t>
  </si>
  <si>
    <t>avg_nonRBD_rel</t>
  </si>
  <si>
    <t>EPCI_HQCS_Ratio</t>
  </si>
  <si>
    <t>Median</t>
  </si>
  <si>
    <t>Average</t>
  </si>
  <si>
    <t>Real EPCI MP Statistics: Substitutions</t>
  </si>
  <si>
    <t>Column Key</t>
  </si>
  <si>
    <t>Different Muts per MP</t>
  </si>
  <si>
    <t>The number of different mutations contained in a given mutation pattern</t>
  </si>
  <si>
    <t>Different Regions per MP</t>
  </si>
  <si>
    <t>The number of different regions contained in a given mutation pattern</t>
  </si>
  <si>
    <t>Different Muts per Region</t>
  </si>
  <si>
    <t>The number of different mutations contained within each region of a given mutation pattern</t>
  </si>
  <si>
    <t>MP Mut ct per MPmut</t>
  </si>
  <si>
    <t>The number of times a mutation appears in EPCI sequences possessing the given MP</t>
  </si>
  <si>
    <t>Total MP Mut Count per Region</t>
  </si>
  <si>
    <t>The total count of all all mutations within one MP region that are in EPCI sequences that possess the given MP</t>
  </si>
  <si>
    <t>Total MP Mut Count per MP</t>
  </si>
  <si>
    <t>Total count of all MP mutations that occur in EPCI sequences possessing a given MP</t>
  </si>
  <si>
    <t>avg NonRBD AAct</t>
  </si>
  <si>
    <t>Average number of non-RBD mutations in EPCI sequences possessing the MP</t>
  </si>
  <si>
    <t>avg nonRBD rel</t>
  </si>
  <si>
    <t>Average number of non-RBD mutations in EPCI sequences possessing the MP relative to the EPCI average</t>
  </si>
  <si>
    <t>Total ≥3-Region MP Count = 24</t>
  </si>
  <si>
    <t>Total ≥4-Region MP Count = 11</t>
  </si>
  <si>
    <t>Total MPs involving ≥5 mutations = 21</t>
  </si>
  <si>
    <t>MP Stats for 100 Simulated EPCI Datasets: Substitutions</t>
  </si>
  <si>
    <t>Median or Mean</t>
  </si>
  <si>
    <t>EPCI HQCS Ratio</t>
  </si>
  <si>
    <t>NA</t>
  </si>
  <si>
    <t xml:space="preserve">Total MP Count = 171 </t>
  </si>
  <si>
    <t>Avg MPs per Simulated EPCI run = 1.71</t>
  </si>
  <si>
    <t>Total ≥3-Region MP Count = 12</t>
  </si>
  <si>
    <t>Avg ≥3-Region MP Count per APCI Run = 0.12</t>
  </si>
  <si>
    <t>Total ≥4-Region MP Count = 0</t>
  </si>
  <si>
    <t>Avg ≥4-Region MP Count per APCI Run = 0.00</t>
  </si>
  <si>
    <t>Total MPs involving ≥5 mutations = 0</t>
  </si>
  <si>
    <t>Total MPs involving ≥5 mutations per APCI = 0.00</t>
  </si>
  <si>
    <t>Real/Simulated EPCI Ratios: Substitutions</t>
  </si>
  <si>
    <t>EPCI/APCI Median</t>
  </si>
  <si>
    <t>EPCI/APCI Mean</t>
  </si>
  <si>
    <t>Total MP Count, Real EPCI =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</si>
</sst>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(Body)"/>
    </font>
    <font>
      <b/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 (Body)"/>
    </font>
    <font>
      <sz val="26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5FFB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EEF83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1">
    <xf numFmtId="0" fontId="0" fillId="0" borderId="0" xfId="0"/>
    <xf numFmtId="2" fontId="0" fillId="0" borderId="0" xfId="0" applyNumberFormat="1"/>
    <xf numFmtId="1" fontId="0" fillId="0" borderId="0" xfId="0" applyNumberFormat="1"/>
    <xf numFmtId="0" fontId="16" fillId="0" borderId="15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16" fillId="0" borderId="24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2" fontId="16" fillId="0" borderId="25" xfId="0" applyNumberFormat="1" applyFont="1" applyBorder="1" applyAlignment="1">
      <alignment horizontal="center" vertical="center" wrapText="1"/>
    </xf>
    <xf numFmtId="0" fontId="0" fillId="0" borderId="26" xfId="0" applyBorder="1"/>
    <xf numFmtId="2" fontId="0" fillId="0" borderId="27" xfId="0" applyNumberFormat="1" applyBorder="1"/>
    <xf numFmtId="0" fontId="18" fillId="0" borderId="0" xfId="0" applyFont="1" applyAlignment="1">
      <alignment vertical="center" wrapText="1"/>
    </xf>
    <xf numFmtId="0" fontId="0" fillId="0" borderId="28" xfId="0" applyBorder="1"/>
    <xf numFmtId="164" fontId="0" fillId="0" borderId="29" xfId="0" applyNumberFormat="1" applyBorder="1"/>
    <xf numFmtId="2" fontId="0" fillId="0" borderId="29" xfId="0" applyNumberFormat="1" applyBorder="1"/>
    <xf numFmtId="2" fontId="0" fillId="0" borderId="30" xfId="0" applyNumberFormat="1" applyBorder="1" applyAlignment="1">
      <alignment horizontal="right"/>
    </xf>
    <xf numFmtId="0" fontId="0" fillId="0" borderId="0" xfId="0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0" fillId="0" borderId="30" xfId="0" applyBorder="1" applyAlignment="1">
      <alignment horizontal="right"/>
    </xf>
    <xf numFmtId="0" fontId="26" fillId="36" borderId="17" xfId="0" applyFont="1" applyFill="1" applyBorder="1" applyAlignment="1">
      <alignment horizontal="center" vertical="center"/>
    </xf>
    <xf numFmtId="0" fontId="26" fillId="36" borderId="18" xfId="0" applyFont="1" applyFill="1" applyBorder="1" applyAlignment="1">
      <alignment horizontal="center" vertical="center"/>
    </xf>
    <xf numFmtId="0" fontId="26" fillId="36" borderId="19" xfId="0" applyFont="1" applyFill="1" applyBorder="1" applyAlignment="1">
      <alignment horizontal="center" vertical="center"/>
    </xf>
    <xf numFmtId="0" fontId="23" fillId="37" borderId="20" xfId="0" applyFont="1" applyFill="1" applyBorder="1" applyAlignment="1">
      <alignment horizontal="center"/>
    </xf>
    <xf numFmtId="0" fontId="23" fillId="37" borderId="21" xfId="0" applyFont="1" applyFill="1" applyBorder="1" applyAlignment="1">
      <alignment horizontal="center"/>
    </xf>
    <xf numFmtId="0" fontId="23" fillId="37" borderId="22" xfId="0" applyFont="1" applyFill="1" applyBorder="1" applyAlignment="1">
      <alignment horizontal="center"/>
    </xf>
    <xf numFmtId="0" fontId="23" fillId="37" borderId="17" xfId="0" applyFont="1" applyFill="1" applyBorder="1" applyAlignment="1">
      <alignment horizontal="center"/>
    </xf>
    <xf numFmtId="0" fontId="23" fillId="37" borderId="18" xfId="0" applyFont="1" applyFill="1" applyBorder="1" applyAlignment="1">
      <alignment horizontal="center"/>
    </xf>
    <xf numFmtId="0" fontId="23" fillId="37" borderId="19" xfId="0" applyFont="1" applyFill="1" applyBorder="1" applyAlignment="1">
      <alignment horizontal="center"/>
    </xf>
    <xf numFmtId="0" fontId="27" fillId="0" borderId="10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3" fillId="34" borderId="20" xfId="0" applyFont="1" applyFill="1" applyBorder="1" applyAlignment="1">
      <alignment horizontal="center" vertical="center"/>
    </xf>
    <xf numFmtId="0" fontId="23" fillId="34" borderId="21" xfId="0" applyFont="1" applyFill="1" applyBorder="1" applyAlignment="1">
      <alignment horizontal="center" vertical="center"/>
    </xf>
    <xf numFmtId="0" fontId="23" fillId="34" borderId="22" xfId="0" applyFont="1" applyFill="1" applyBorder="1" applyAlignment="1">
      <alignment horizontal="center" vertical="center"/>
    </xf>
    <xf numFmtId="0" fontId="23" fillId="34" borderId="17" xfId="0" applyFont="1" applyFill="1" applyBorder="1" applyAlignment="1">
      <alignment horizontal="center" vertical="center"/>
    </xf>
    <xf numFmtId="0" fontId="23" fillId="34" borderId="18" xfId="0" applyFont="1" applyFill="1" applyBorder="1" applyAlignment="1">
      <alignment horizontal="center" vertical="center"/>
    </xf>
    <xf numFmtId="0" fontId="23" fillId="34" borderId="19" xfId="0" applyFont="1" applyFill="1" applyBorder="1" applyAlignment="1">
      <alignment horizontal="center" vertical="center"/>
    </xf>
    <xf numFmtId="0" fontId="26" fillId="35" borderId="20" xfId="0" applyFont="1" applyFill="1" applyBorder="1" applyAlignment="1">
      <alignment horizontal="center" vertical="center"/>
    </xf>
    <xf numFmtId="0" fontId="26" fillId="35" borderId="21" xfId="0" applyFont="1" applyFill="1" applyBorder="1" applyAlignment="1">
      <alignment horizontal="center" vertical="center"/>
    </xf>
    <xf numFmtId="0" fontId="26" fillId="35" borderId="22" xfId="0" applyFont="1" applyFill="1" applyBorder="1" applyAlignment="1">
      <alignment horizontal="center" vertical="center"/>
    </xf>
    <xf numFmtId="0" fontId="26" fillId="35" borderId="17" xfId="0" applyFont="1" applyFill="1" applyBorder="1" applyAlignment="1">
      <alignment horizontal="center" vertical="center"/>
    </xf>
    <xf numFmtId="0" fontId="26" fillId="35" borderId="18" xfId="0" applyFont="1" applyFill="1" applyBorder="1" applyAlignment="1">
      <alignment horizontal="center" vertical="center"/>
    </xf>
    <xf numFmtId="0" fontId="26" fillId="35" borderId="19" xfId="0" applyFont="1" applyFill="1" applyBorder="1" applyAlignment="1">
      <alignment horizontal="center" vertical="center"/>
    </xf>
    <xf numFmtId="0" fontId="26" fillId="36" borderId="20" xfId="0" applyFont="1" applyFill="1" applyBorder="1" applyAlignment="1">
      <alignment horizontal="center" vertical="center"/>
    </xf>
    <xf numFmtId="0" fontId="26" fillId="36" borderId="21" xfId="0" applyFont="1" applyFill="1" applyBorder="1" applyAlignment="1">
      <alignment horizontal="center" vertical="center"/>
    </xf>
    <xf numFmtId="0" fontId="26" fillId="36" borderId="22" xfId="0" applyFont="1" applyFill="1" applyBorder="1" applyAlignment="1">
      <alignment horizontal="center" vertical="center"/>
    </xf>
    <xf numFmtId="0" fontId="0" fillId="0" borderId="0" xfId="0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23" fillId="35" borderId="10" xfId="0" applyFont="1" applyFill="1" applyBorder="1" applyAlignment="1">
      <alignment horizontal="center" vertical="center"/>
    </xf>
    <xf numFmtId="0" fontId="23" fillId="35" borderId="11" xfId="0" applyFont="1" applyFill="1" applyBorder="1" applyAlignment="1">
      <alignment horizontal="center" vertical="center"/>
    </xf>
    <xf numFmtId="0" fontId="23" fillId="35" borderId="23" xfId="0" applyFont="1" applyFill="1" applyBorder="1" applyAlignment="1">
      <alignment horizontal="center" vertical="center"/>
    </xf>
    <xf numFmtId="0" fontId="23" fillId="36" borderId="10" xfId="0" applyFont="1" applyFill="1" applyBorder="1" applyAlignment="1">
      <alignment horizontal="center" vertical="center"/>
    </xf>
    <xf numFmtId="0" fontId="23" fillId="36" borderId="11" xfId="0" applyFont="1" applyFill="1" applyBorder="1" applyAlignment="1">
      <alignment horizontal="center" vertical="center"/>
    </xf>
    <xf numFmtId="0" fontId="23" fillId="36" borderId="23" xfId="0" applyFont="1" applyFill="1" applyBorder="1" applyAlignment="1">
      <alignment horizontal="center" vertical="center"/>
    </xf>
    <xf numFmtId="0" fontId="24" fillId="37" borderId="10" xfId="0" applyFont="1" applyFill="1" applyBorder="1" applyAlignment="1">
      <alignment horizontal="center" vertical="center"/>
    </xf>
    <xf numFmtId="0" fontId="24" fillId="37" borderId="11" xfId="0" applyFont="1" applyFill="1" applyBorder="1" applyAlignment="1">
      <alignment horizontal="center" vertical="center"/>
    </xf>
    <xf numFmtId="0" fontId="24" fillId="37" borderId="23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center"/>
    </xf>
    <xf numFmtId="0" fontId="19" fillId="33" borderId="14" xfId="0" applyFont="1" applyFill="1" applyBorder="1" applyAlignment="1">
      <alignment horizontal="center" vertical="center"/>
    </xf>
    <xf numFmtId="0" fontId="20" fillId="0" borderId="21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0" fillId="0" borderId="0" xfId="0" applyBorder="1"/>
    <xf numFmtId="1" fontId="0" fillId="0" borderId="0" xfId="0" applyNumberFormat="1" applyBorder="1"/>
    <xf numFmtId="2" fontId="0" fillId="0" borderId="0" xfId="0" applyNumberFormat="1" applyBorder="1"/>
    <xf numFmtId="0" fontId="0" fillId="0" borderId="29" xfId="0" applyBorder="1"/>
    <xf numFmtId="0" fontId="18" fillId="0" borderId="23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DB95-98E6-FA4D-B6CE-C5F3BA3D02FE}">
  <sheetPr codeName="Sheet1"/>
  <dimension ref="A1:U29"/>
  <sheetViews>
    <sheetView tabSelected="1" workbookViewId="0">
      <selection activeCell="L26" sqref="L26"/>
    </sheetView>
  </sheetViews>
  <sheetFormatPr baseColWidth="10" defaultRowHeight="16" x14ac:dyDescent="0.2"/>
  <cols>
    <col min="1" max="1" width="15.6640625" customWidth="1"/>
    <col min="3" max="3" width="11.5" customWidth="1"/>
    <col min="4" max="4" width="11.83203125" customWidth="1"/>
    <col min="6" max="6" width="12.83203125" customWidth="1"/>
    <col min="11" max="11" width="6.1640625" customWidth="1"/>
    <col min="12" max="12" width="27" customWidth="1"/>
    <col min="21" max="21" width="5" customWidth="1"/>
  </cols>
  <sheetData>
    <row r="1" spans="1:21" ht="38" thickBot="1" x14ac:dyDescent="0.25">
      <c r="A1" s="68" t="s">
        <v>12</v>
      </c>
      <c r="B1" s="69"/>
      <c r="C1" s="69"/>
      <c r="D1" s="69"/>
      <c r="E1" s="69"/>
      <c r="F1" s="69"/>
      <c r="G1" s="69"/>
      <c r="H1" s="69"/>
      <c r="I1" s="69"/>
      <c r="J1" s="80"/>
    </row>
    <row r="2" spans="1:21" s="5" customFormat="1" ht="35" customHeight="1" x14ac:dyDescent="0.2">
      <c r="A2" s="8" t="s">
        <v>0</v>
      </c>
      <c r="B2" s="73" t="s">
        <v>1</v>
      </c>
      <c r="C2" s="73" t="s">
        <v>2</v>
      </c>
      <c r="D2" s="73" t="s">
        <v>3</v>
      </c>
      <c r="E2" s="73" t="s">
        <v>4</v>
      </c>
      <c r="F2" s="74" t="s">
        <v>5</v>
      </c>
      <c r="G2" s="74" t="s">
        <v>6</v>
      </c>
      <c r="H2" s="8" t="s">
        <v>7</v>
      </c>
      <c r="I2" s="8" t="s">
        <v>8</v>
      </c>
      <c r="J2" s="75" t="s">
        <v>9</v>
      </c>
      <c r="L2" s="70" t="s">
        <v>13</v>
      </c>
      <c r="M2" s="71"/>
      <c r="N2" s="71"/>
      <c r="O2" s="71"/>
      <c r="P2" s="71"/>
      <c r="Q2" s="71"/>
      <c r="R2" s="71"/>
      <c r="S2" s="71"/>
      <c r="T2" s="71"/>
      <c r="U2" s="72"/>
    </row>
    <row r="3" spans="1:21" ht="19" customHeight="1" x14ac:dyDescent="0.2">
      <c r="A3" s="76" t="s">
        <v>10</v>
      </c>
      <c r="B3" s="77">
        <v>6</v>
      </c>
      <c r="C3" s="77">
        <v>3</v>
      </c>
      <c r="D3" s="77">
        <v>1</v>
      </c>
      <c r="E3" s="77">
        <v>7</v>
      </c>
      <c r="F3" s="77">
        <v>14</v>
      </c>
      <c r="G3" s="77">
        <v>53</v>
      </c>
      <c r="H3" s="78">
        <v>18.28</v>
      </c>
      <c r="I3" s="78">
        <v>1.19</v>
      </c>
      <c r="J3" s="12">
        <v>9.48</v>
      </c>
      <c r="L3" s="3" t="s">
        <v>14</v>
      </c>
      <c r="M3" s="55" t="s">
        <v>15</v>
      </c>
      <c r="N3" s="55"/>
      <c r="O3" s="55"/>
      <c r="P3" s="55"/>
      <c r="Q3" s="55"/>
      <c r="R3" s="55"/>
      <c r="S3" s="55"/>
      <c r="T3" s="55"/>
      <c r="U3" s="56"/>
    </row>
    <row r="4" spans="1:21" ht="19" customHeight="1" x14ac:dyDescent="0.2">
      <c r="A4" s="79" t="s">
        <v>11</v>
      </c>
      <c r="B4" s="16">
        <v>8.80555555555555</v>
      </c>
      <c r="C4" s="16">
        <v>3.75</v>
      </c>
      <c r="D4" s="16">
        <v>2.3481481481481401</v>
      </c>
      <c r="E4" s="16">
        <v>12.091482649842201</v>
      </c>
      <c r="F4" s="16">
        <v>28.3925925925925</v>
      </c>
      <c r="G4" s="16">
        <v>106.472222222222</v>
      </c>
      <c r="H4" s="16">
        <v>21.524166666666599</v>
      </c>
      <c r="I4" s="16">
        <v>1.40222222222222</v>
      </c>
      <c r="J4" s="21" t="s">
        <v>36</v>
      </c>
      <c r="L4" s="3" t="s">
        <v>16</v>
      </c>
      <c r="M4" s="55" t="s">
        <v>17</v>
      </c>
      <c r="N4" s="55"/>
      <c r="O4" s="55"/>
      <c r="P4" s="55"/>
      <c r="Q4" s="55"/>
      <c r="R4" s="55"/>
      <c r="S4" s="55"/>
      <c r="T4" s="55"/>
      <c r="U4" s="56"/>
    </row>
    <row r="5" spans="1:21" ht="19" customHeight="1" thickBot="1" x14ac:dyDescent="0.25">
      <c r="L5" s="3" t="s">
        <v>18</v>
      </c>
      <c r="M5" s="55" t="s">
        <v>19</v>
      </c>
      <c r="N5" s="55"/>
      <c r="O5" s="55"/>
      <c r="P5" s="55"/>
      <c r="Q5" s="55"/>
      <c r="R5" s="55"/>
      <c r="S5" s="55"/>
      <c r="T5" s="55"/>
      <c r="U5" s="56"/>
    </row>
    <row r="6" spans="1:21" ht="19" customHeight="1" thickBot="1" x14ac:dyDescent="0.25">
      <c r="C6" s="40" t="s">
        <v>48</v>
      </c>
      <c r="D6" s="41"/>
      <c r="E6" s="41"/>
      <c r="F6" s="41"/>
      <c r="G6" s="41"/>
      <c r="H6" s="42"/>
      <c r="L6" s="3" t="s">
        <v>20</v>
      </c>
      <c r="M6" s="55" t="s">
        <v>21</v>
      </c>
      <c r="N6" s="55"/>
      <c r="O6" s="55"/>
      <c r="P6" s="55"/>
      <c r="Q6" s="55"/>
      <c r="R6" s="55"/>
      <c r="S6" s="55"/>
      <c r="T6" s="55"/>
      <c r="U6" s="56"/>
    </row>
    <row r="7" spans="1:21" ht="19" customHeight="1" thickBot="1" x14ac:dyDescent="0.25">
      <c r="C7" s="59" t="s">
        <v>30</v>
      </c>
      <c r="D7" s="60"/>
      <c r="E7" s="60"/>
      <c r="F7" s="60"/>
      <c r="G7" s="60"/>
      <c r="H7" s="61"/>
      <c r="L7" s="3" t="s">
        <v>22</v>
      </c>
      <c r="M7" s="55" t="s">
        <v>23</v>
      </c>
      <c r="N7" s="55"/>
      <c r="O7" s="55"/>
      <c r="P7" s="55"/>
      <c r="Q7" s="55"/>
      <c r="R7" s="55"/>
      <c r="S7" s="55"/>
      <c r="T7" s="55"/>
      <c r="U7" s="56"/>
    </row>
    <row r="8" spans="1:21" ht="19" customHeight="1" thickBot="1" x14ac:dyDescent="0.25">
      <c r="C8" s="62" t="s">
        <v>31</v>
      </c>
      <c r="D8" s="63"/>
      <c r="E8" s="63"/>
      <c r="F8" s="63"/>
      <c r="G8" s="63"/>
      <c r="H8" s="64"/>
      <c r="L8" s="3" t="s">
        <v>24</v>
      </c>
      <c r="M8" s="55" t="s">
        <v>25</v>
      </c>
      <c r="N8" s="55"/>
      <c r="O8" s="55"/>
      <c r="P8" s="55"/>
      <c r="Q8" s="55"/>
      <c r="R8" s="55"/>
      <c r="S8" s="55"/>
      <c r="T8" s="55"/>
      <c r="U8" s="56"/>
    </row>
    <row r="9" spans="1:21" ht="19" customHeight="1" thickBot="1" x14ac:dyDescent="0.25">
      <c r="C9" s="65" t="s">
        <v>32</v>
      </c>
      <c r="D9" s="66"/>
      <c r="E9" s="66"/>
      <c r="F9" s="66"/>
      <c r="G9" s="66"/>
      <c r="H9" s="67"/>
      <c r="L9" s="3" t="s">
        <v>26</v>
      </c>
      <c r="M9" s="55" t="s">
        <v>27</v>
      </c>
      <c r="N9" s="55"/>
      <c r="O9" s="55"/>
      <c r="P9" s="55"/>
      <c r="Q9" s="55"/>
      <c r="R9" s="55"/>
      <c r="S9" s="55"/>
      <c r="T9" s="55"/>
      <c r="U9" s="56"/>
    </row>
    <row r="10" spans="1:21" ht="19" customHeight="1" thickBot="1" x14ac:dyDescent="0.25">
      <c r="L10" s="4" t="s">
        <v>28</v>
      </c>
      <c r="M10" s="57" t="s">
        <v>29</v>
      </c>
      <c r="N10" s="57"/>
      <c r="O10" s="57"/>
      <c r="P10" s="57"/>
      <c r="Q10" s="57"/>
      <c r="R10" s="57"/>
      <c r="S10" s="57"/>
      <c r="T10" s="57"/>
      <c r="U10" s="58"/>
    </row>
    <row r="11" spans="1:21" x14ac:dyDescent="0.2">
      <c r="A11" s="34" t="s">
        <v>33</v>
      </c>
      <c r="B11" s="35"/>
      <c r="C11" s="35"/>
      <c r="D11" s="35"/>
      <c r="E11" s="35"/>
      <c r="F11" s="35"/>
      <c r="G11" s="35"/>
      <c r="H11" s="35"/>
      <c r="I11" s="35"/>
      <c r="J11" s="36"/>
    </row>
    <row r="12" spans="1:21" ht="21" customHeight="1" thickBot="1" x14ac:dyDescent="0.25">
      <c r="A12" s="37"/>
      <c r="B12" s="38"/>
      <c r="C12" s="38"/>
      <c r="D12" s="38"/>
      <c r="E12" s="38"/>
      <c r="F12" s="38"/>
      <c r="G12" s="38"/>
      <c r="H12" s="38"/>
      <c r="I12" s="38"/>
      <c r="J12" s="39"/>
      <c r="K12" s="6"/>
    </row>
    <row r="13" spans="1:21" ht="49" customHeight="1" x14ac:dyDescent="0.2">
      <c r="A13" s="7" t="s">
        <v>34</v>
      </c>
      <c r="B13" s="8" t="s">
        <v>14</v>
      </c>
      <c r="C13" s="8" t="s">
        <v>16</v>
      </c>
      <c r="D13" s="8" t="s">
        <v>18</v>
      </c>
      <c r="E13" s="8" t="s">
        <v>20</v>
      </c>
      <c r="F13" s="9" t="s">
        <v>22</v>
      </c>
      <c r="G13" s="9" t="s">
        <v>24</v>
      </c>
      <c r="H13" s="8" t="s">
        <v>26</v>
      </c>
      <c r="I13" s="8" t="s">
        <v>28</v>
      </c>
      <c r="J13" s="10" t="s">
        <v>35</v>
      </c>
      <c r="K13" s="6"/>
    </row>
    <row r="14" spans="1:21" ht="19" customHeight="1" x14ac:dyDescent="0.2">
      <c r="A14" s="11" t="s">
        <v>10</v>
      </c>
      <c r="B14" s="2">
        <v>2</v>
      </c>
      <c r="C14" s="2">
        <v>2</v>
      </c>
      <c r="D14" s="2">
        <v>1</v>
      </c>
      <c r="E14" s="2">
        <v>4</v>
      </c>
      <c r="F14" s="2">
        <v>4</v>
      </c>
      <c r="G14" s="2">
        <v>10</v>
      </c>
      <c r="H14" s="1">
        <v>22.445</v>
      </c>
      <c r="I14" s="1">
        <v>1.46</v>
      </c>
      <c r="J14" s="12">
        <v>4.0350000000000001</v>
      </c>
      <c r="K14" s="13"/>
    </row>
    <row r="15" spans="1:21" x14ac:dyDescent="0.2">
      <c r="A15" s="14" t="s">
        <v>11</v>
      </c>
      <c r="B15" s="15">
        <v>2.1169590643274798</v>
      </c>
      <c r="C15" s="15">
        <v>2.0701754385964901</v>
      </c>
      <c r="D15" s="15">
        <v>1.0225988700564901</v>
      </c>
      <c r="E15" s="16">
        <v>5.7900552486187804</v>
      </c>
      <c r="F15" s="16">
        <v>5.9209039548022497</v>
      </c>
      <c r="G15" s="16">
        <v>12.257309941520401</v>
      </c>
      <c r="H15" s="16">
        <v>23.3666081871344</v>
      </c>
      <c r="I15" s="16">
        <v>1.52210526315789</v>
      </c>
      <c r="J15" s="17" t="s">
        <v>36</v>
      </c>
      <c r="K15" s="18"/>
    </row>
    <row r="16" spans="1:21" ht="17" thickBot="1" x14ac:dyDescent="0.25"/>
    <row r="17" spans="1:11" ht="19" x14ac:dyDescent="0.2">
      <c r="C17" s="40" t="s">
        <v>37</v>
      </c>
      <c r="D17" s="41"/>
      <c r="E17" s="41"/>
      <c r="F17" s="41"/>
      <c r="G17" s="41"/>
      <c r="H17" s="42"/>
    </row>
    <row r="18" spans="1:11" ht="20" thickBot="1" x14ac:dyDescent="0.25">
      <c r="C18" s="43" t="s">
        <v>38</v>
      </c>
      <c r="D18" s="44"/>
      <c r="E18" s="44"/>
      <c r="F18" s="44"/>
      <c r="G18" s="44"/>
      <c r="H18" s="45"/>
    </row>
    <row r="19" spans="1:11" ht="21" x14ac:dyDescent="0.2">
      <c r="C19" s="46" t="s">
        <v>39</v>
      </c>
      <c r="D19" s="47"/>
      <c r="E19" s="47"/>
      <c r="F19" s="47"/>
      <c r="G19" s="47"/>
      <c r="H19" s="48"/>
    </row>
    <row r="20" spans="1:11" ht="22" thickBot="1" x14ac:dyDescent="0.25">
      <c r="C20" s="49" t="s">
        <v>40</v>
      </c>
      <c r="D20" s="50"/>
      <c r="E20" s="50"/>
      <c r="F20" s="50"/>
      <c r="G20" s="50"/>
      <c r="H20" s="51"/>
    </row>
    <row r="21" spans="1:11" ht="21" x14ac:dyDescent="0.2">
      <c r="C21" s="52" t="s">
        <v>41</v>
      </c>
      <c r="D21" s="53"/>
      <c r="E21" s="53"/>
      <c r="F21" s="53"/>
      <c r="G21" s="53"/>
      <c r="H21" s="54"/>
    </row>
    <row r="22" spans="1:11" ht="22" thickBot="1" x14ac:dyDescent="0.25">
      <c r="C22" s="22" t="s">
        <v>42</v>
      </c>
      <c r="D22" s="23"/>
      <c r="E22" s="23"/>
      <c r="F22" s="23"/>
      <c r="G22" s="23"/>
      <c r="H22" s="24"/>
    </row>
    <row r="23" spans="1:11" ht="19" x14ac:dyDescent="0.25">
      <c r="C23" s="25" t="s">
        <v>43</v>
      </c>
      <c r="D23" s="26"/>
      <c r="E23" s="26"/>
      <c r="F23" s="26"/>
      <c r="G23" s="26"/>
      <c r="H23" s="27"/>
    </row>
    <row r="24" spans="1:11" ht="20" thickBot="1" x14ac:dyDescent="0.3">
      <c r="C24" s="28" t="s">
        <v>44</v>
      </c>
      <c r="D24" s="29"/>
      <c r="E24" s="29"/>
      <c r="F24" s="29"/>
      <c r="G24" s="29"/>
      <c r="H24" s="30"/>
    </row>
    <row r="25" spans="1:11" ht="17" thickBot="1" x14ac:dyDescent="0.25"/>
    <row r="26" spans="1:11" ht="35" thickBot="1" x14ac:dyDescent="0.25">
      <c r="A26" s="31" t="s">
        <v>45</v>
      </c>
      <c r="B26" s="32"/>
      <c r="C26" s="32"/>
      <c r="D26" s="32"/>
      <c r="E26" s="32"/>
      <c r="F26" s="32"/>
      <c r="G26" s="32"/>
      <c r="H26" s="32"/>
      <c r="I26" s="32"/>
      <c r="J26" s="33"/>
    </row>
    <row r="27" spans="1:11" ht="51" x14ac:dyDescent="0.2">
      <c r="A27" s="7" t="s">
        <v>34</v>
      </c>
      <c r="B27" s="8" t="s">
        <v>14</v>
      </c>
      <c r="C27" s="8" t="s">
        <v>16</v>
      </c>
      <c r="D27" s="8" t="s">
        <v>18</v>
      </c>
      <c r="E27" s="8" t="s">
        <v>20</v>
      </c>
      <c r="F27" s="9" t="s">
        <v>22</v>
      </c>
      <c r="G27" s="9" t="s">
        <v>24</v>
      </c>
      <c r="H27" s="8" t="s">
        <v>26</v>
      </c>
      <c r="I27" s="8" t="s">
        <v>28</v>
      </c>
      <c r="J27" s="10" t="s">
        <v>35</v>
      </c>
      <c r="K27" s="19"/>
    </row>
    <row r="28" spans="1:11" ht="18" customHeight="1" x14ac:dyDescent="0.2">
      <c r="A28" s="11" t="s">
        <v>46</v>
      </c>
      <c r="B28" s="1">
        <f t="shared" ref="B28:J28" si="0">B3/B14</f>
        <v>3</v>
      </c>
      <c r="C28" s="1">
        <f t="shared" si="0"/>
        <v>1.5</v>
      </c>
      <c r="D28" s="1">
        <f t="shared" si="0"/>
        <v>1</v>
      </c>
      <c r="E28" s="1">
        <f t="shared" si="0"/>
        <v>1.75</v>
      </c>
      <c r="F28" s="1">
        <f t="shared" si="0"/>
        <v>3.5</v>
      </c>
      <c r="G28" s="1">
        <f t="shared" si="0"/>
        <v>5.3</v>
      </c>
      <c r="H28" s="1">
        <f t="shared" si="0"/>
        <v>0.81443528625529071</v>
      </c>
      <c r="I28" s="1">
        <f t="shared" si="0"/>
        <v>0.81506849315068497</v>
      </c>
      <c r="J28" s="12">
        <f t="shared" si="0"/>
        <v>2.3494423791821561</v>
      </c>
      <c r="K28" s="20"/>
    </row>
    <row r="29" spans="1:11" x14ac:dyDescent="0.2">
      <c r="A29" s="14" t="s">
        <v>47</v>
      </c>
      <c r="B29" s="16">
        <f t="shared" ref="B29:I29" si="1">B4/B15</f>
        <v>4.1595303867403395</v>
      </c>
      <c r="C29" s="16">
        <f t="shared" si="1"/>
        <v>1.8114406779661028</v>
      </c>
      <c r="D29" s="16">
        <f t="shared" si="1"/>
        <v>2.2962553713935008</v>
      </c>
      <c r="E29" s="16">
        <f t="shared" si="1"/>
        <v>2.0883190454403051</v>
      </c>
      <c r="F29" s="16">
        <f t="shared" si="1"/>
        <v>4.7953138252756498</v>
      </c>
      <c r="G29" s="16">
        <f t="shared" si="1"/>
        <v>8.6864265267175877</v>
      </c>
      <c r="H29" s="16">
        <f t="shared" si="1"/>
        <v>0.92115066484136776</v>
      </c>
      <c r="I29" s="16">
        <f t="shared" si="1"/>
        <v>0.92123866605194549</v>
      </c>
      <c r="J29" s="21" t="s">
        <v>36</v>
      </c>
      <c r="K29" s="18"/>
    </row>
  </sheetData>
  <mergeCells count="24">
    <mergeCell ref="A1:J1"/>
    <mergeCell ref="L2:U2"/>
    <mergeCell ref="M3:U3"/>
    <mergeCell ref="M4:U4"/>
    <mergeCell ref="M5:U5"/>
    <mergeCell ref="M7:U7"/>
    <mergeCell ref="M8:U8"/>
    <mergeCell ref="M9:U9"/>
    <mergeCell ref="M10:U10"/>
    <mergeCell ref="C6:H6"/>
    <mergeCell ref="C7:H7"/>
    <mergeCell ref="C8:H8"/>
    <mergeCell ref="C9:H9"/>
    <mergeCell ref="M6:U6"/>
    <mergeCell ref="C22:H22"/>
    <mergeCell ref="C23:H23"/>
    <mergeCell ref="C24:H24"/>
    <mergeCell ref="A26:J26"/>
    <mergeCell ref="A11:J12"/>
    <mergeCell ref="C17:H17"/>
    <mergeCell ref="C18:H18"/>
    <mergeCell ref="C19:H19"/>
    <mergeCell ref="C20:H20"/>
    <mergeCell ref="C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df_rand_MP_META_sorted_UNIQUE_E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</cp:lastModifiedBy>
  <dcterms:modified xsi:type="dcterms:W3CDTF">2026-03-11T22:49:02Z</dcterms:modified>
</cp:coreProperties>
</file>