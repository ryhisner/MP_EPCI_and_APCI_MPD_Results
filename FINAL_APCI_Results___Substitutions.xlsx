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FAKE_2026_03_04_1PM__EPCI_8_10_95__HQCS_5_1_5__minFsh5_grpFsh_2_RANDOM/"/>
    </mc:Choice>
  </mc:AlternateContent>
  <xr:revisionPtr revIDLastSave="0" documentId="13_ncr:1_{451580F4-57D1-D447-A4BC-C3E90E040438}" xr6:coauthVersionLast="47" xr6:coauthVersionMax="47" xr10:uidLastSave="{00000000-0000-0000-0000-000000000000}"/>
  <bookViews>
    <workbookView xWindow="1620" yWindow="1680" windowWidth="28120" windowHeight="17020" xr2:uid="{9BD675B2-0942-6E45-9E95-2994ABDA7C60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14" i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" i="1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W3" i="1"/>
  <c r="W4" i="1" s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</calcChain>
</file>

<file path=xl/sharedStrings.xml><?xml version="1.0" encoding="utf-8"?>
<sst xmlns="http://schemas.openxmlformats.org/spreadsheetml/2006/main" count="433" uniqueCount="347">
  <si>
    <t>Run</t>
  </si>
  <si>
    <t>Mutation</t>
  </si>
  <si>
    <t>log10pvFISH</t>
  </si>
  <si>
    <t>Chi2</t>
  </si>
  <si>
    <t>ORF1a:D294G</t>
  </si>
  <si>
    <t>N:T271I</t>
  </si>
  <si>
    <t>ORF1a:N3186T</t>
  </si>
  <si>
    <t>&gt;2196.0</t>
  </si>
  <si>
    <t>M:N21D</t>
  </si>
  <si>
    <t>ORF7a:A50T</t>
  </si>
  <si>
    <t>ORF1a:S1307N</t>
  </si>
  <si>
    <t>ORF1a:T1542I</t>
  </si>
  <si>
    <t>M:H125Y</t>
  </si>
  <si>
    <t>ORF3a:L65P</t>
  </si>
  <si>
    <t>&gt;91.57</t>
  </si>
  <si>
    <t>ORF1a:D4117N</t>
  </si>
  <si>
    <t>ORF7a:T120I</t>
  </si>
  <si>
    <t>ORF1a:G2667S</t>
  </si>
  <si>
    <t>&gt;103.22</t>
  </si>
  <si>
    <t>ORF1a:T4087I</t>
  </si>
  <si>
    <t>S:K795T</t>
  </si>
  <si>
    <t>ORF1a:T4175I</t>
  </si>
  <si>
    <t>S:T51I</t>
  </si>
  <si>
    <t>&gt;79.64</t>
  </si>
  <si>
    <t>ORF1a:D1273G</t>
  </si>
  <si>
    <t>N:P142S</t>
  </si>
  <si>
    <t>ORF1b:D870G</t>
  </si>
  <si>
    <t>S:Y248H</t>
  </si>
  <si>
    <t>ORF1a:P1640S</t>
  </si>
  <si>
    <t>ORF3a:Q213K</t>
  </si>
  <si>
    <t>ORF1a:Q4099H</t>
  </si>
  <si>
    <t>ORF1a:V4101I</t>
  </si>
  <si>
    <t>ORF9b:P17S</t>
  </si>
  <si>
    <t>ORF1a:S2024L</t>
  </si>
  <si>
    <t>ORF1a:F2780L</t>
  </si>
  <si>
    <t>ORF1a:D1323N</t>
  </si>
  <si>
    <t>ORF8:K68E</t>
  </si>
  <si>
    <t>S:T323I</t>
  </si>
  <si>
    <t>S:T547K</t>
  </si>
  <si>
    <t>ORF6:F22L</t>
  </si>
  <si>
    <t>&gt;133.38</t>
  </si>
  <si>
    <t>ORF8:E106*</t>
  </si>
  <si>
    <t>ORF9b:L64P</t>
  </si>
  <si>
    <t>E:A32V</t>
  </si>
  <si>
    <t>ORF3a:L41F</t>
  </si>
  <si>
    <t>ORF1a:R3802C</t>
  </si>
  <si>
    <t>N:A134V</t>
  </si>
  <si>
    <t>ORF1a:N2708S</t>
  </si>
  <si>
    <t>ORF1a:D4166G</t>
  </si>
  <si>
    <t>ORF1a:A1716T</t>
  </si>
  <si>
    <t>S:S71F</t>
  </si>
  <si>
    <t>ORF1a:T4090I</t>
  </si>
  <si>
    <t>ORF7a:L96P</t>
  </si>
  <si>
    <t>ORF1a:G3072C</t>
  </si>
  <si>
    <t>ORF1a:P3504L</t>
  </si>
  <si>
    <t>ORF1a:T2152I</t>
  </si>
  <si>
    <t>ORF1b:V1566I</t>
  </si>
  <si>
    <t>Inf</t>
  </si>
  <si>
    <t>ORF1a:P80S</t>
  </si>
  <si>
    <t>N:T135I</t>
  </si>
  <si>
    <t>ORF3a:K21N</t>
  </si>
  <si>
    <t>ORF3a:D27Y</t>
  </si>
  <si>
    <t>ORF8:W45R</t>
  </si>
  <si>
    <t>&gt;468.0</t>
  </si>
  <si>
    <t>ORF1a:I1326V</t>
  </si>
  <si>
    <t>ORF3a:S171L</t>
  </si>
  <si>
    <t>ORF1a:T1322A</t>
  </si>
  <si>
    <t>ORF1a:T1822I</t>
  </si>
  <si>
    <t>ORF1a:A3436T</t>
  </si>
  <si>
    <t>&gt;96.67</t>
  </si>
  <si>
    <t>ORF1a:T3058I</t>
  </si>
  <si>
    <t>ORF1a:I1714V</t>
  </si>
  <si>
    <t>S:V42I</t>
  </si>
  <si>
    <t>ORF1a:E1366A</t>
  </si>
  <si>
    <t>ORF1a:L3606F</t>
  </si>
  <si>
    <t>ORF1a:D4165N</t>
  </si>
  <si>
    <t>ORF3a:V97I</t>
  </si>
  <si>
    <t>ORF1a:E4097D</t>
  </si>
  <si>
    <t>ORF1a:T2158I</t>
  </si>
  <si>
    <t>ORF1a:R3802H</t>
  </si>
  <si>
    <t>ORF1a:L590F</t>
  </si>
  <si>
    <t>ORF1a:D1323G</t>
  </si>
  <si>
    <t>M:E19Q</t>
  </si>
  <si>
    <t>N:T205I</t>
  </si>
  <si>
    <t>S:Y200C</t>
  </si>
  <si>
    <t>E:V62F</t>
  </si>
  <si>
    <t>ORF1a:D1639N</t>
  </si>
  <si>
    <t>ORF1b:I1227V</t>
  </si>
  <si>
    <t>&gt;88.22</t>
  </si>
  <si>
    <t>S:A958D</t>
  </si>
  <si>
    <t>N:H300Y</t>
  </si>
  <si>
    <t>ORF1a:G4086S</t>
  </si>
  <si>
    <t>E:V14-</t>
  </si>
  <si>
    <t>S:E1144Q</t>
  </si>
  <si>
    <t>M:R146H</t>
  </si>
  <si>
    <t>ORF1a:A2710V</t>
  </si>
  <si>
    <t>ORF1a:Q3890R</t>
  </si>
  <si>
    <t>ORF1a:A3143V</t>
  </si>
  <si>
    <t>ORF1a:D3196G</t>
  </si>
  <si>
    <t>S:R765G</t>
  </si>
  <si>
    <t>&gt;81.64</t>
  </si>
  <si>
    <t>ORF1a:S944L</t>
  </si>
  <si>
    <t>ORF1a:P971S</t>
  </si>
  <si>
    <t>S:T638I</t>
  </si>
  <si>
    <t>M:A104V</t>
  </si>
  <si>
    <t>ORF1a:P1640L</t>
  </si>
  <si>
    <t>ORF1a:L3754F</t>
  </si>
  <si>
    <t>S:R683W</t>
  </si>
  <si>
    <t>N:A182S</t>
  </si>
  <si>
    <t>&gt;820.25</t>
  </si>
  <si>
    <t>ORF1a:N1324T</t>
  </si>
  <si>
    <t>S:R683Q</t>
  </si>
  <si>
    <t>ORF1a:I4098L</t>
  </si>
  <si>
    <t>ORF3a:N257D</t>
  </si>
  <si>
    <t>ORF1a:S166G</t>
  </si>
  <si>
    <t>ORF1a:D930Y</t>
  </si>
  <si>
    <t>&gt;1316.8</t>
  </si>
  <si>
    <t>S:V1122L</t>
  </si>
  <si>
    <t>M:T30A</t>
  </si>
  <si>
    <t>ORF1a:N1540S</t>
  </si>
  <si>
    <t>S:C15-</t>
  </si>
  <si>
    <t>S:T572I</t>
  </si>
  <si>
    <t>N:V270L</t>
  </si>
  <si>
    <t>ORF8:S54L</t>
  </si>
  <si>
    <t>S:L5F</t>
  </si>
  <si>
    <t>ORF1a:I1367L</t>
  </si>
  <si>
    <t>M:F53L</t>
  </si>
  <si>
    <t>ORF1a:E4097K</t>
  </si>
  <si>
    <t>ORF3a:W45L</t>
  </si>
  <si>
    <t>ORF3a:F43S</t>
  </si>
  <si>
    <t>ORF8:F120V</t>
  </si>
  <si>
    <t>ORF1a:V4102I</t>
  </si>
  <si>
    <t>M:R107S</t>
  </si>
  <si>
    <t>ORF1a:T2093I</t>
  </si>
  <si>
    <t>ORF8:I121L</t>
  </si>
  <si>
    <t>S:A67V</t>
  </si>
  <si>
    <t>ORF3a:L53F</t>
  </si>
  <si>
    <t>ORF1a:S1272N</t>
  </si>
  <si>
    <t>S:G1124V</t>
  </si>
  <si>
    <t>ORF1a:S505F</t>
  </si>
  <si>
    <t>ORF1b:A1215S</t>
  </si>
  <si>
    <t>&gt;2633.6</t>
  </si>
  <si>
    <t>M:S99A</t>
  </si>
  <si>
    <t>ORF1a:F2328V</t>
  </si>
  <si>
    <t>E:L37F</t>
  </si>
  <si>
    <t>S:V213E</t>
  </si>
  <si>
    <t>&gt;72.39</t>
  </si>
  <si>
    <t>ORF7a:T39I</t>
  </si>
  <si>
    <t>ORF1a:L122F</t>
  </si>
  <si>
    <t>ORF1b:P1427H</t>
  </si>
  <si>
    <t>&gt;121.6</t>
  </si>
  <si>
    <t>ORF1a:H3076Y</t>
  </si>
  <si>
    <t>ORF1a:V3077A</t>
  </si>
  <si>
    <t>S:Y144D</t>
  </si>
  <si>
    <t>E:S55F</t>
  </si>
  <si>
    <t>N:P151L</t>
  </si>
  <si>
    <t>ORF1a:T1638N</t>
  </si>
  <si>
    <t>ORF6:F2L</t>
  </si>
  <si>
    <t>&gt;85.71</t>
  </si>
  <si>
    <t>M:A63T</t>
  </si>
  <si>
    <t>ORF1a:E4097A</t>
  </si>
  <si>
    <t>S:N978S</t>
  </si>
  <si>
    <t>ORF7a:Q94H</t>
  </si>
  <si>
    <t>ORF9b:T95A</t>
  </si>
  <si>
    <t>S:W152L</t>
  </si>
  <si>
    <t>ORF1a:P309L</t>
  </si>
  <si>
    <t>ORF1a:E311G</t>
  </si>
  <si>
    <t>&gt;56.87</t>
  </si>
  <si>
    <t>ORF1a:T1567I</t>
  </si>
  <si>
    <t>S:S1175P</t>
  </si>
  <si>
    <t>ORF1a:S2926F</t>
  </si>
  <si>
    <t>ORF1a:F3605L</t>
  </si>
  <si>
    <t>ORF1a:V86F</t>
  </si>
  <si>
    <t>S:K147I</t>
  </si>
  <si>
    <t>ORF1a:D1273N</t>
  </si>
  <si>
    <t>ORF1b:T1354I</t>
  </si>
  <si>
    <t>ORF1a:E102K</t>
  </si>
  <si>
    <t>ORF3a:Y211C</t>
  </si>
  <si>
    <t>ORF1a:K1529R</t>
  </si>
  <si>
    <t>E:G10S</t>
  </si>
  <si>
    <t>ORF1a:R2159Q</t>
  </si>
  <si>
    <t>ORF1a:P380L</t>
  </si>
  <si>
    <t>ORF1a:T2087I</t>
  </si>
  <si>
    <t>ORF9b:G38D</t>
  </si>
  <si>
    <t>S:I210V</t>
  </si>
  <si>
    <t>S:N211I</t>
  </si>
  <si>
    <t>&gt;63.94</t>
  </si>
  <si>
    <t>ORF1a:L3829F</t>
  </si>
  <si>
    <t>ORF1b:F2314L</t>
  </si>
  <si>
    <t>ORF1a:I1577T</t>
  </si>
  <si>
    <t>&gt;81.08</t>
  </si>
  <si>
    <t>S:W64R</t>
  </si>
  <si>
    <t>N:T362I</t>
  </si>
  <si>
    <t>ORF1a:V1143I</t>
  </si>
  <si>
    <t>&gt;1097.0</t>
  </si>
  <si>
    <t>ORF1b:V1649I</t>
  </si>
  <si>
    <t>M:Q19H</t>
  </si>
  <si>
    <t>M:G3D</t>
  </si>
  <si>
    <t>N:P326L</t>
  </si>
  <si>
    <t>ORF1a:D2472E</t>
  </si>
  <si>
    <t>ORF1a:N4167S</t>
  </si>
  <si>
    <t>ORF1a:I1276T</t>
  </si>
  <si>
    <t>ORF1b:V2371L</t>
  </si>
  <si>
    <t>S:E661D</t>
  </si>
  <si>
    <t>ORF7a:F109L</t>
  </si>
  <si>
    <t>ORF9b:V93A</t>
  </si>
  <si>
    <t>ORF1a:T2016I</t>
  </si>
  <si>
    <t>M:S94N</t>
  </si>
  <si>
    <t>ORF1a:F2328L</t>
  </si>
  <si>
    <t>ORF8:T11I</t>
  </si>
  <si>
    <t>ORF1a:G1155C</t>
  </si>
  <si>
    <t>&gt;83.34</t>
  </si>
  <si>
    <t>M:S4F</t>
  </si>
  <si>
    <t>ORF1a:A540V</t>
  </si>
  <si>
    <t>ORF1a:L3808F</t>
  </si>
  <si>
    <t>ORF1b:P1821S</t>
  </si>
  <si>
    <t>ORF1a:P959L</t>
  </si>
  <si>
    <t>ORF1a:T12A</t>
  </si>
  <si>
    <t>ORF1a:Q4289R</t>
  </si>
  <si>
    <t>ORF9b:T95M</t>
  </si>
  <si>
    <t>ORF3a:V255-</t>
  </si>
  <si>
    <t>ORF9b:P51Q</t>
  </si>
  <si>
    <t>ORF1a:V3892A</t>
  </si>
  <si>
    <t>ORF1b:H2571Y</t>
  </si>
  <si>
    <t>S:I210T</t>
  </si>
  <si>
    <t>N:S416L</t>
  </si>
  <si>
    <t>ORF7a:N43K</t>
  </si>
  <si>
    <t>ORF9b:A57V</t>
  </si>
  <si>
    <t>ORF1a:A3456V</t>
  </si>
  <si>
    <t>ORF1a:D1323A</t>
  </si>
  <si>
    <t>ORF1a:S2103F</t>
  </si>
  <si>
    <t>ORF1a:T814I</t>
  </si>
  <si>
    <t>ORF1a:T1638P</t>
  </si>
  <si>
    <t>ORF1a:T1638I</t>
  </si>
  <si>
    <t>ORF1a:F1710L</t>
  </si>
  <si>
    <t>ORF9b:M8V</t>
  </si>
  <si>
    <t>S:R214S</t>
  </si>
  <si>
    <t>N:L161F</t>
  </si>
  <si>
    <t>&gt;107.14</t>
  </si>
  <si>
    <t>ORF6:H3Y</t>
  </si>
  <si>
    <t>ORF1b:A440V</t>
  </si>
  <si>
    <t>ORF1b:Q985R</t>
  </si>
  <si>
    <t>ORF6:P57S</t>
  </si>
  <si>
    <t>ORF9b:S10P</t>
  </si>
  <si>
    <t>ORF9b:P51L</t>
  </si>
  <si>
    <t>ORF1a:H1500Y</t>
  </si>
  <si>
    <t>S:C15Y</t>
  </si>
  <si>
    <t>S:N125K</t>
  </si>
  <si>
    <t>&gt;940.0</t>
  </si>
  <si>
    <t>ORF3a:G196R</t>
  </si>
  <si>
    <t>ORF1a:P4120L</t>
  </si>
  <si>
    <t>S:I934V</t>
  </si>
  <si>
    <t>S:D936Y</t>
  </si>
  <si>
    <t>ORF1a:Q526R</t>
  </si>
  <si>
    <t>&gt;107.76</t>
  </si>
  <si>
    <t>ORF1a:E57K</t>
  </si>
  <si>
    <t>ORF1a:T4161I</t>
  </si>
  <si>
    <t>ORF1a:E55K</t>
  </si>
  <si>
    <t>S:D936H</t>
  </si>
  <si>
    <t>ORF1a:A1679T</t>
  </si>
  <si>
    <t>ORF1b:K2557R</t>
  </si>
  <si>
    <t>N:T166I</t>
  </si>
  <si>
    <t>ORF1b:A616T</t>
  </si>
  <si>
    <t>S:S98F</t>
  </si>
  <si>
    <t>M:I161F</t>
  </si>
  <si>
    <t>&gt;254.59</t>
  </si>
  <si>
    <t>S:G181A</t>
  </si>
  <si>
    <t>ORF9b:G16D</t>
  </si>
  <si>
    <t>ORF1a:L2329F</t>
  </si>
  <si>
    <t>ORF1a:T1504I</t>
  </si>
  <si>
    <t>ORF1a:L3694F</t>
  </si>
  <si>
    <t>S:S255F</t>
  </si>
  <si>
    <t>ORF1a:T3224A</t>
  </si>
  <si>
    <t>ORF1a:T4090A</t>
  </si>
  <si>
    <t>ORF1a:T12I</t>
  </si>
  <si>
    <t>ORF1b:T1404M</t>
  </si>
  <si>
    <t>S:Q183E</t>
  </si>
  <si>
    <t>S:A262V</t>
  </si>
  <si>
    <t>ORF3a:Y215H</t>
  </si>
  <si>
    <t>ORF1a:E1394D</t>
  </si>
  <si>
    <t>ORF9b:R13C</t>
  </si>
  <si>
    <t>ORF1a:K1795Q</t>
  </si>
  <si>
    <t>ORF1a:P4220L</t>
  </si>
  <si>
    <t>M:S197T</t>
  </si>
  <si>
    <t>ORF3a:T229I</t>
  </si>
  <si>
    <t>ORF1a:T2121I</t>
  </si>
  <si>
    <t>ORF1a:T1638A</t>
  </si>
  <si>
    <t>ORF1a:A2710T</t>
  </si>
  <si>
    <t>ORF1a:I2712T</t>
  </si>
  <si>
    <t>S:M740I</t>
  </si>
  <si>
    <t>ORF1a:F3089L</t>
  </si>
  <si>
    <t>ORF1a:P3359S</t>
  </si>
  <si>
    <t>&gt;46.06</t>
  </si>
  <si>
    <t>ORF1a:A385V</t>
  </si>
  <si>
    <t>S:L18F</t>
  </si>
  <si>
    <t>ORF1a:K1895N</t>
  </si>
  <si>
    <t>&gt;100.67</t>
  </si>
  <si>
    <t>&gt;113.75</t>
  </si>
  <si>
    <t>ORF1a:S1272G</t>
  </si>
  <si>
    <t>S:F32L</t>
  </si>
  <si>
    <t>ORF1a:T3750I</t>
  </si>
  <si>
    <t>ORF7a:L96I</t>
  </si>
  <si>
    <t>ORF9b:A68V</t>
  </si>
  <si>
    <t>ORF1a:H165Y</t>
  </si>
  <si>
    <t>ORF1a:T224I</t>
  </si>
  <si>
    <t>ORF1b:S2339F</t>
  </si>
  <si>
    <t>ORF1a:T2823I</t>
  </si>
  <si>
    <t>S:G219V</t>
  </si>
  <si>
    <t>S:V289L</t>
  </si>
  <si>
    <t>S:K764N</t>
  </si>
  <si>
    <t>S:E1111Q</t>
  </si>
  <si>
    <t>ORF1a:S4398L</t>
  </si>
  <si>
    <t>ORF8:Q18*</t>
  </si>
  <si>
    <t>ORF1a:A2249V</t>
  </si>
  <si>
    <t>ORF1b:Y822H</t>
  </si>
  <si>
    <t>ORF1a:T1395I</t>
  </si>
  <si>
    <t>ORF3a:T89I</t>
  </si>
  <si>
    <t>ORF1a:I2790T</t>
  </si>
  <si>
    <t>ORF1b:V1768I</t>
  </si>
  <si>
    <t>ORF9b:Q20*</t>
  </si>
  <si>
    <t>ORF1b:V1566L</t>
  </si>
  <si>
    <t>S:T323A</t>
  </si>
  <si>
    <t>&gt;122.81</t>
  </si>
  <si>
    <t>S:G566S</t>
  </si>
  <si>
    <t>ORF1a:T4164N</t>
  </si>
  <si>
    <t>ORF3a:T32I</t>
  </si>
  <si>
    <t>Total MP Count</t>
  </si>
  <si>
    <t>Total Region Count</t>
  </si>
  <si>
    <t>MP Tot Mut ct</t>
  </si>
  <si>
    <t>MP Tot Reg ct</t>
  </si>
  <si>
    <t>Reg Tot Mut ct</t>
  </si>
  <si>
    <t>MP Region Num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</si>
  <si>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</si>
  <si>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</si>
  <si>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</si>
  <si>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</si>
  <si>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</si>
  <si>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</si>
  <si>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</si>
  <si>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</si>
  <si>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</si>
  <si>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avg NonRBD AAct</t>
  </si>
  <si>
    <t>avg nonRBD rel</t>
  </si>
  <si>
    <t>Seed Mut Index</t>
  </si>
  <si>
    <t>Total ≥3-Region MP Count</t>
  </si>
  <si>
    <t>Total ≥4-Region MP Count</t>
  </si>
  <si>
    <t>Total Different MP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</si>
</sst>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1" fontId="16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1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" fontId="16" fillId="0" borderId="0" xfId="0" applyNumberFormat="1" applyFont="1"/>
    <xf numFmtId="2" fontId="16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/>
    </xf>
    <xf numFmtId="1" fontId="19" fillId="0" borderId="0" xfId="0" applyNumberFormat="1" applyFont="1" applyAlignment="1">
      <alignment horizontal="center" vertic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A287-A7D9-4641-8D1A-BEC196661539}">
  <dimension ref="A1:Z363"/>
  <sheetViews>
    <sheetView tabSelected="1" workbookViewId="0">
      <selection activeCell="AB357" sqref="AB357"/>
    </sheetView>
  </sheetViews>
  <sheetFormatPr baseColWidth="10" defaultRowHeight="16" x14ac:dyDescent="0.2"/>
  <cols>
    <col min="1" max="1" width="4" style="8" customWidth="1"/>
    <col min="2" max="2" width="6.33203125" style="9" customWidth="1"/>
    <col min="3" max="3" width="4.83203125" style="9" customWidth="1"/>
    <col min="4" max="4" width="4.6640625" style="9" customWidth="1"/>
    <col min="5" max="5" width="5" style="9" customWidth="1"/>
    <col min="6" max="6" width="5.6640625" style="9" customWidth="1"/>
    <col min="7" max="7" width="14" customWidth="1"/>
    <col min="8" max="8" width="4.6640625" style="9" customWidth="1"/>
    <col min="9" max="9" width="5.1640625" style="9" customWidth="1"/>
    <col min="10" max="10" width="5.83203125" style="9" customWidth="1"/>
    <col min="11" max="13" width="7.33203125" customWidth="1"/>
    <col min="14" max="14" width="9.83203125" style="1" customWidth="1"/>
    <col min="15" max="15" width="7.6640625" style="10" customWidth="1"/>
    <col min="16" max="16" width="7.83203125" style="14" customWidth="1"/>
    <col min="17" max="17" width="7.33203125" style="11" customWidth="1"/>
    <col min="18" max="18" width="9.1640625" style="10" customWidth="1"/>
    <col min="19" max="19" width="8.33203125" style="10" customWidth="1"/>
    <col min="20" max="20" width="8.1640625" style="10" customWidth="1"/>
    <col min="21" max="21" width="9" customWidth="1"/>
    <col min="22" max="22" width="9.1640625" style="9" customWidth="1"/>
    <col min="23" max="23" width="8.5" style="9" customWidth="1"/>
  </cols>
  <sheetData>
    <row r="1" spans="1:26" ht="68" customHeight="1" x14ac:dyDescent="0.2">
      <c r="A1" s="2" t="s">
        <v>0</v>
      </c>
      <c r="B1" s="15" t="s">
        <v>343</v>
      </c>
      <c r="C1" s="2" t="s">
        <v>328</v>
      </c>
      <c r="D1" s="2" t="s">
        <v>329</v>
      </c>
      <c r="E1" s="2" t="s">
        <v>330</v>
      </c>
      <c r="F1" s="3" t="s">
        <v>331</v>
      </c>
      <c r="G1" s="4" t="s">
        <v>1</v>
      </c>
      <c r="H1" s="2" t="s">
        <v>332</v>
      </c>
      <c r="I1" s="2" t="s">
        <v>333</v>
      </c>
      <c r="J1" s="2" t="s">
        <v>334</v>
      </c>
      <c r="K1" s="5" t="s">
        <v>335</v>
      </c>
      <c r="L1" s="5" t="s">
        <v>336</v>
      </c>
      <c r="M1" s="5" t="s">
        <v>337</v>
      </c>
      <c r="N1" s="6" t="s">
        <v>338</v>
      </c>
      <c r="O1" s="5" t="s">
        <v>2</v>
      </c>
      <c r="P1" s="13" t="s">
        <v>339</v>
      </c>
      <c r="Q1" s="7" t="s">
        <v>3</v>
      </c>
      <c r="R1" s="5" t="s">
        <v>340</v>
      </c>
      <c r="S1" s="5" t="s">
        <v>341</v>
      </c>
      <c r="T1" s="5" t="s">
        <v>342</v>
      </c>
      <c r="U1" s="4"/>
      <c r="V1" s="2" t="s">
        <v>326</v>
      </c>
      <c r="W1" s="2" t="s">
        <v>327</v>
      </c>
      <c r="X1" s="4" t="s">
        <v>344</v>
      </c>
      <c r="Y1" s="4" t="s">
        <v>345</v>
      </c>
      <c r="Z1" s="4" t="s">
        <v>346</v>
      </c>
    </row>
    <row r="2" spans="1:26" x14ac:dyDescent="0.2">
      <c r="A2" s="8">
        <v>1</v>
      </c>
      <c r="B2" s="9">
        <v>1424</v>
      </c>
      <c r="C2" s="9">
        <v>2</v>
      </c>
      <c r="D2" s="9">
        <v>2</v>
      </c>
      <c r="E2" s="9">
        <v>1</v>
      </c>
      <c r="F2" s="9">
        <v>1</v>
      </c>
      <c r="G2" t="s">
        <v>4</v>
      </c>
      <c r="H2" s="9">
        <v>4</v>
      </c>
      <c r="I2" s="9">
        <v>5</v>
      </c>
      <c r="J2" s="9">
        <v>100</v>
      </c>
      <c r="K2" s="10">
        <v>80</v>
      </c>
      <c r="L2" s="10">
        <v>4</v>
      </c>
      <c r="M2" s="10">
        <v>3.12793243665936E-2</v>
      </c>
      <c r="N2" s="1">
        <v>7.7929009723426402E-6</v>
      </c>
      <c r="O2" s="10">
        <v>5.1083008424876697</v>
      </c>
      <c r="P2" s="14">
        <v>127.88</v>
      </c>
      <c r="Q2" s="11">
        <v>76.356372439124002</v>
      </c>
      <c r="R2" s="10">
        <v>1.39</v>
      </c>
      <c r="S2" s="10">
        <v>21.74</v>
      </c>
      <c r="T2" s="10">
        <v>1.42</v>
      </c>
      <c r="V2" s="9">
        <v>1</v>
      </c>
      <c r="W2" s="9">
        <v>1</v>
      </c>
      <c r="X2">
        <v>0</v>
      </c>
      <c r="Y2">
        <v>0</v>
      </c>
      <c r="Z2">
        <v>1</v>
      </c>
    </row>
    <row r="3" spans="1:26" x14ac:dyDescent="0.2">
      <c r="A3" s="8">
        <v>1</v>
      </c>
      <c r="B3" s="9">
        <v>1424</v>
      </c>
      <c r="C3" s="9">
        <v>2</v>
      </c>
      <c r="D3" s="9">
        <v>2</v>
      </c>
      <c r="E3" s="9">
        <v>1</v>
      </c>
      <c r="F3" s="9">
        <v>2</v>
      </c>
      <c r="G3" t="s">
        <v>5</v>
      </c>
      <c r="H3" s="9">
        <v>4</v>
      </c>
      <c r="I3" s="9">
        <v>101</v>
      </c>
      <c r="J3" s="9">
        <v>5</v>
      </c>
      <c r="K3" s="10">
        <v>3.9603960396039599</v>
      </c>
      <c r="L3" s="10">
        <v>80</v>
      </c>
      <c r="M3" s="10">
        <v>2.9465370595382701</v>
      </c>
      <c r="N3" s="1">
        <v>8.1122393669212304E-6</v>
      </c>
      <c r="O3" s="10">
        <v>5.0908592431439503</v>
      </c>
      <c r="P3" s="14">
        <v>27.1505154639175</v>
      </c>
      <c r="Q3" s="11">
        <v>75.555535824658605</v>
      </c>
      <c r="R3" s="10">
        <v>4.0199999999999996</v>
      </c>
      <c r="S3" s="10">
        <v>21.74</v>
      </c>
      <c r="T3" s="10">
        <v>1.42</v>
      </c>
      <c r="V3" s="9">
        <f t="shared" ref="V3:V66" si="0">IF(B3&lt;&gt;B2,V2+1,V2)</f>
        <v>1</v>
      </c>
      <c r="W3" s="9">
        <f t="shared" ref="W3:W66" si="1">IF(F3&lt;&gt;F2,W2+1,W2)</f>
        <v>2</v>
      </c>
      <c r="X3">
        <f t="shared" ref="X3:X67" si="2">IF(AND(B3&lt;&gt;B2,D2&gt;2),X2+1,X2)</f>
        <v>0</v>
      </c>
      <c r="Y3">
        <f>IF(AND(B3&lt;&gt;B2,D2&gt;3),Y2+1,Y2)</f>
        <v>0</v>
      </c>
      <c r="Z3">
        <v>2</v>
      </c>
    </row>
    <row r="4" spans="1:26" x14ac:dyDescent="0.2">
      <c r="A4" s="8">
        <v>1</v>
      </c>
      <c r="B4" s="9">
        <v>2112</v>
      </c>
      <c r="C4" s="9">
        <v>3</v>
      </c>
      <c r="D4" s="9">
        <v>3</v>
      </c>
      <c r="E4" s="9">
        <v>1</v>
      </c>
      <c r="F4" s="9">
        <v>1</v>
      </c>
      <c r="G4" t="s">
        <v>6</v>
      </c>
      <c r="H4" s="9">
        <v>2</v>
      </c>
      <c r="I4" s="9">
        <v>2</v>
      </c>
      <c r="J4" s="9">
        <v>3</v>
      </c>
      <c r="K4" s="10">
        <v>100</v>
      </c>
      <c r="L4" s="10">
        <v>66.6666666666666</v>
      </c>
      <c r="M4" s="10">
        <v>0</v>
      </c>
      <c r="N4" s="1">
        <v>1.1042695477795301E-6</v>
      </c>
      <c r="O4" s="10">
        <v>5.9569249041205996</v>
      </c>
      <c r="P4" s="14" t="s">
        <v>7</v>
      </c>
      <c r="Q4" s="11">
        <v>1235.2494310596401</v>
      </c>
      <c r="R4" s="10">
        <v>12.84</v>
      </c>
      <c r="S4" s="10">
        <v>39</v>
      </c>
      <c r="T4" s="10">
        <v>2.54</v>
      </c>
      <c r="V4" s="9">
        <f t="shared" si="0"/>
        <v>2</v>
      </c>
      <c r="W4" s="9">
        <f t="shared" si="1"/>
        <v>3</v>
      </c>
      <c r="X4">
        <f t="shared" si="2"/>
        <v>0</v>
      </c>
      <c r="Y4">
        <f t="shared" ref="Y4:Y67" si="3">IF(AND(B4&lt;&gt;B3,D3&gt;3),Y3+1,Y3)</f>
        <v>0</v>
      </c>
      <c r="Z4">
        <v>3</v>
      </c>
    </row>
    <row r="5" spans="1:26" x14ac:dyDescent="0.2">
      <c r="A5" s="8">
        <v>1</v>
      </c>
      <c r="B5" s="9">
        <v>2112</v>
      </c>
      <c r="C5" s="9">
        <v>3</v>
      </c>
      <c r="D5" s="9">
        <v>3</v>
      </c>
      <c r="E5" s="9">
        <v>1</v>
      </c>
      <c r="F5" s="9">
        <v>2</v>
      </c>
      <c r="G5" t="s">
        <v>8</v>
      </c>
      <c r="H5" s="9">
        <v>2</v>
      </c>
      <c r="I5" s="9">
        <v>3</v>
      </c>
      <c r="J5" s="9">
        <v>2</v>
      </c>
      <c r="K5" s="10">
        <v>66.6666666666666</v>
      </c>
      <c r="L5" s="10">
        <v>100</v>
      </c>
      <c r="M5" s="10">
        <v>3.0349013657056102E-2</v>
      </c>
      <c r="N5" s="1">
        <v>1.1042695477795301E-6</v>
      </c>
      <c r="O5" s="10">
        <v>5.9569249041205996</v>
      </c>
      <c r="P5" s="14">
        <v>3295</v>
      </c>
      <c r="Q5" s="11">
        <v>1235.2494310596401</v>
      </c>
      <c r="R5" s="10">
        <v>25.99</v>
      </c>
      <c r="S5" s="10">
        <v>39</v>
      </c>
      <c r="T5" s="10">
        <v>2.54</v>
      </c>
      <c r="V5" s="9">
        <f t="shared" si="0"/>
        <v>2</v>
      </c>
      <c r="W5" s="9">
        <f t="shared" si="1"/>
        <v>4</v>
      </c>
      <c r="X5">
        <f t="shared" si="2"/>
        <v>0</v>
      </c>
      <c r="Y5">
        <f t="shared" si="3"/>
        <v>0</v>
      </c>
      <c r="Z5">
        <v>4</v>
      </c>
    </row>
    <row r="6" spans="1:26" x14ac:dyDescent="0.2">
      <c r="A6" s="8">
        <v>1</v>
      </c>
      <c r="B6" s="9">
        <v>2112</v>
      </c>
      <c r="C6" s="9">
        <v>3</v>
      </c>
      <c r="D6" s="9">
        <v>3</v>
      </c>
      <c r="E6" s="9">
        <v>1</v>
      </c>
      <c r="F6" s="9">
        <v>3</v>
      </c>
      <c r="G6" t="s">
        <v>9</v>
      </c>
      <c r="H6" s="9">
        <v>2</v>
      </c>
      <c r="I6" s="9">
        <v>2</v>
      </c>
      <c r="J6" s="9">
        <v>3</v>
      </c>
      <c r="K6" s="10">
        <v>100</v>
      </c>
      <c r="L6" s="10">
        <v>66.6666666666666</v>
      </c>
      <c r="M6" s="10">
        <v>0</v>
      </c>
      <c r="N6" s="1">
        <v>1.1042695477795301E-6</v>
      </c>
      <c r="O6" s="10">
        <v>5.9569249041205996</v>
      </c>
      <c r="P6" s="14" t="s">
        <v>7</v>
      </c>
      <c r="Q6" s="11">
        <v>1235.2494310596401</v>
      </c>
      <c r="R6" s="10">
        <v>2.09</v>
      </c>
      <c r="S6" s="10">
        <v>39</v>
      </c>
      <c r="T6" s="10">
        <v>2.54</v>
      </c>
      <c r="V6" s="9">
        <f t="shared" si="0"/>
        <v>2</v>
      </c>
      <c r="W6" s="9">
        <f t="shared" si="1"/>
        <v>5</v>
      </c>
      <c r="X6">
        <f t="shared" si="2"/>
        <v>0</v>
      </c>
      <c r="Y6">
        <f t="shared" si="3"/>
        <v>0</v>
      </c>
      <c r="Z6">
        <v>5</v>
      </c>
    </row>
    <row r="7" spans="1:26" x14ac:dyDescent="0.2">
      <c r="A7" s="8">
        <v>2</v>
      </c>
      <c r="B7" s="9">
        <v>250</v>
      </c>
      <c r="C7" s="9">
        <v>2</v>
      </c>
      <c r="D7" s="9">
        <v>2</v>
      </c>
      <c r="E7" s="9">
        <v>1</v>
      </c>
      <c r="F7" s="9">
        <v>1</v>
      </c>
      <c r="G7" t="s">
        <v>10</v>
      </c>
      <c r="H7" s="9">
        <v>5</v>
      </c>
      <c r="I7" s="9">
        <v>10</v>
      </c>
      <c r="J7" s="9">
        <v>81</v>
      </c>
      <c r="K7" s="10">
        <v>50</v>
      </c>
      <c r="L7" s="10">
        <v>6.1728395061728305</v>
      </c>
      <c r="M7" s="10">
        <v>0.15547263681592</v>
      </c>
      <c r="N7" s="1">
        <v>3.6206277005034199E-6</v>
      </c>
      <c r="O7" s="10">
        <v>5.4412161302312203</v>
      </c>
      <c r="P7" s="14">
        <v>39.703703703703702</v>
      </c>
      <c r="Q7" s="11">
        <v>75.755961770191405</v>
      </c>
      <c r="R7" s="10">
        <v>3.49</v>
      </c>
      <c r="S7" s="10">
        <v>26.27</v>
      </c>
      <c r="T7" s="10">
        <v>1.71</v>
      </c>
      <c r="V7" s="9">
        <f t="shared" si="0"/>
        <v>3</v>
      </c>
      <c r="W7" s="9">
        <f t="shared" si="1"/>
        <v>6</v>
      </c>
      <c r="X7">
        <f t="shared" si="2"/>
        <v>1</v>
      </c>
      <c r="Y7">
        <f t="shared" si="3"/>
        <v>0</v>
      </c>
      <c r="Z7">
        <v>6</v>
      </c>
    </row>
    <row r="8" spans="1:26" x14ac:dyDescent="0.2">
      <c r="A8" s="8">
        <v>2</v>
      </c>
      <c r="B8" s="9">
        <v>250</v>
      </c>
      <c r="C8" s="9">
        <v>2</v>
      </c>
      <c r="D8" s="9">
        <v>2</v>
      </c>
      <c r="E8" s="9">
        <v>1</v>
      </c>
      <c r="F8" s="9">
        <v>2</v>
      </c>
      <c r="G8" t="s">
        <v>11</v>
      </c>
      <c r="H8" s="9">
        <v>5</v>
      </c>
      <c r="I8" s="9">
        <v>81</v>
      </c>
      <c r="J8" s="9">
        <v>10</v>
      </c>
      <c r="K8" s="10">
        <v>6.1728395061728305</v>
      </c>
      <c r="L8" s="10">
        <v>50</v>
      </c>
      <c r="M8" s="10">
        <v>2.3121387283236898</v>
      </c>
      <c r="N8" s="1">
        <v>3.6206277005034199E-6</v>
      </c>
      <c r="O8" s="10">
        <v>5.4412161302312096</v>
      </c>
      <c r="P8" s="14">
        <v>21.625</v>
      </c>
      <c r="Q8" s="11">
        <v>75.755961770191405</v>
      </c>
      <c r="R8" s="10">
        <v>3.93</v>
      </c>
      <c r="S8" s="10">
        <v>26.27</v>
      </c>
      <c r="T8" s="10">
        <v>1.71</v>
      </c>
      <c r="V8" s="9">
        <f t="shared" si="0"/>
        <v>3</v>
      </c>
      <c r="W8" s="9">
        <f t="shared" si="1"/>
        <v>7</v>
      </c>
      <c r="X8">
        <f t="shared" si="2"/>
        <v>1</v>
      </c>
      <c r="Y8">
        <f t="shared" si="3"/>
        <v>0</v>
      </c>
      <c r="Z8">
        <v>7</v>
      </c>
    </row>
    <row r="9" spans="1:26" x14ac:dyDescent="0.2">
      <c r="A9" s="8">
        <v>2</v>
      </c>
      <c r="B9" s="9">
        <v>2063</v>
      </c>
      <c r="C9" s="9">
        <v>2</v>
      </c>
      <c r="D9" s="9">
        <v>2</v>
      </c>
      <c r="E9" s="9">
        <v>1</v>
      </c>
      <c r="F9" s="9">
        <v>1</v>
      </c>
      <c r="G9" t="s">
        <v>12</v>
      </c>
      <c r="H9" s="9">
        <v>4</v>
      </c>
      <c r="I9" s="9">
        <v>140</v>
      </c>
      <c r="J9" s="9">
        <v>4</v>
      </c>
      <c r="K9" s="10">
        <v>2.8571428571428501</v>
      </c>
      <c r="L9" s="10">
        <v>100</v>
      </c>
      <c r="M9" s="10">
        <v>4.1299726692985104</v>
      </c>
      <c r="N9" s="1">
        <v>6.2386025905138103E-6</v>
      </c>
      <c r="O9" s="10">
        <v>5.2049126787780304</v>
      </c>
      <c r="P9" s="14">
        <v>24.213235294117599</v>
      </c>
      <c r="Q9" s="11">
        <v>68.269973398605302</v>
      </c>
      <c r="R9" s="10">
        <v>5.58</v>
      </c>
      <c r="S9" s="10">
        <v>23.21</v>
      </c>
      <c r="T9" s="10">
        <v>1.51</v>
      </c>
      <c r="V9" s="9">
        <f t="shared" si="0"/>
        <v>4</v>
      </c>
      <c r="W9" s="9">
        <f t="shared" si="1"/>
        <v>8</v>
      </c>
      <c r="X9">
        <f t="shared" si="2"/>
        <v>1</v>
      </c>
      <c r="Y9">
        <f t="shared" si="3"/>
        <v>0</v>
      </c>
      <c r="Z9">
        <v>8</v>
      </c>
    </row>
    <row r="10" spans="1:26" x14ac:dyDescent="0.2">
      <c r="A10" s="8">
        <v>2</v>
      </c>
      <c r="B10" s="9">
        <v>2063</v>
      </c>
      <c r="C10" s="9">
        <v>2</v>
      </c>
      <c r="D10" s="9">
        <v>2</v>
      </c>
      <c r="E10" s="9">
        <v>1</v>
      </c>
      <c r="F10" s="9">
        <v>2</v>
      </c>
      <c r="G10" t="s">
        <v>13</v>
      </c>
      <c r="H10" s="9">
        <v>4</v>
      </c>
      <c r="I10" s="9">
        <v>4</v>
      </c>
      <c r="J10" s="9">
        <v>138</v>
      </c>
      <c r="K10" s="10">
        <v>100</v>
      </c>
      <c r="L10" s="10">
        <v>2.8985507246376803</v>
      </c>
      <c r="M10" s="10">
        <v>0</v>
      </c>
      <c r="N10" s="1">
        <v>5.8859580453151803E-6</v>
      </c>
      <c r="O10" s="10">
        <v>5.23018283784514</v>
      </c>
      <c r="P10" s="14" t="s">
        <v>14</v>
      </c>
      <c r="Q10" s="11">
        <v>69.3164462457177</v>
      </c>
      <c r="R10" s="10">
        <v>1.6</v>
      </c>
      <c r="S10" s="10">
        <v>23.21</v>
      </c>
      <c r="T10" s="10">
        <v>1.51</v>
      </c>
      <c r="V10" s="9">
        <f t="shared" si="0"/>
        <v>4</v>
      </c>
      <c r="W10" s="9">
        <f t="shared" si="1"/>
        <v>9</v>
      </c>
      <c r="X10">
        <f t="shared" si="2"/>
        <v>1</v>
      </c>
      <c r="Y10">
        <f t="shared" si="3"/>
        <v>0</v>
      </c>
      <c r="Z10">
        <v>9</v>
      </c>
    </row>
    <row r="11" spans="1:26" x14ac:dyDescent="0.2">
      <c r="A11" s="8">
        <v>2</v>
      </c>
      <c r="B11" s="9">
        <v>2659</v>
      </c>
      <c r="C11" s="9">
        <v>2</v>
      </c>
      <c r="D11" s="9">
        <v>2</v>
      </c>
      <c r="E11" s="9">
        <v>1</v>
      </c>
      <c r="F11" s="9">
        <v>1</v>
      </c>
      <c r="G11" t="s">
        <v>15</v>
      </c>
      <c r="H11" s="9">
        <v>4</v>
      </c>
      <c r="I11" s="9">
        <v>18</v>
      </c>
      <c r="J11" s="9">
        <v>20</v>
      </c>
      <c r="K11" s="10">
        <v>22.2222222222222</v>
      </c>
      <c r="L11" s="10">
        <v>20</v>
      </c>
      <c r="M11" s="10">
        <v>0.42722001830942902</v>
      </c>
      <c r="N11" s="1">
        <v>5.7131785853233501E-6</v>
      </c>
      <c r="O11" s="10">
        <v>5.2431222003384903</v>
      </c>
      <c r="P11" s="14">
        <v>46.814285714285703</v>
      </c>
      <c r="Q11" s="11">
        <v>106.522990176829</v>
      </c>
      <c r="R11" s="10">
        <v>7.89</v>
      </c>
      <c r="S11" s="10">
        <v>20.76</v>
      </c>
      <c r="T11" s="10">
        <v>1.35</v>
      </c>
      <c r="V11" s="9">
        <f t="shared" si="0"/>
        <v>5</v>
      </c>
      <c r="W11" s="9">
        <f t="shared" si="1"/>
        <v>10</v>
      </c>
      <c r="X11">
        <f t="shared" si="2"/>
        <v>1</v>
      </c>
      <c r="Y11">
        <f t="shared" si="3"/>
        <v>0</v>
      </c>
      <c r="Z11">
        <v>10</v>
      </c>
    </row>
    <row r="12" spans="1:26" x14ac:dyDescent="0.2">
      <c r="A12" s="8">
        <v>2</v>
      </c>
      <c r="B12" s="9">
        <v>2659</v>
      </c>
      <c r="C12" s="9">
        <v>2</v>
      </c>
      <c r="D12" s="9">
        <v>2</v>
      </c>
      <c r="E12" s="9">
        <v>1</v>
      </c>
      <c r="F12" s="9">
        <v>2</v>
      </c>
      <c r="G12" t="s">
        <v>16</v>
      </c>
      <c r="H12" s="9">
        <v>4</v>
      </c>
      <c r="I12" s="9">
        <v>20</v>
      </c>
      <c r="J12" s="9">
        <v>18</v>
      </c>
      <c r="K12" s="10">
        <v>20</v>
      </c>
      <c r="L12" s="10">
        <v>22.2222222222222</v>
      </c>
      <c r="M12" s="10">
        <v>0.48795364440378103</v>
      </c>
      <c r="N12" s="1">
        <v>5.7131785853233704E-6</v>
      </c>
      <c r="O12" s="10">
        <v>5.2431222003384796</v>
      </c>
      <c r="P12" s="14">
        <v>45.5416666666666</v>
      </c>
      <c r="Q12" s="11">
        <v>106.522990176829</v>
      </c>
      <c r="R12" s="10">
        <v>0.73</v>
      </c>
      <c r="S12" s="10">
        <v>20.76</v>
      </c>
      <c r="T12" s="10">
        <v>1.35</v>
      </c>
      <c r="V12" s="9">
        <f t="shared" si="0"/>
        <v>5</v>
      </c>
      <c r="W12" s="9">
        <f t="shared" si="1"/>
        <v>11</v>
      </c>
      <c r="X12">
        <f t="shared" si="2"/>
        <v>1</v>
      </c>
      <c r="Y12">
        <f t="shared" si="3"/>
        <v>0</v>
      </c>
      <c r="Z12">
        <v>11</v>
      </c>
    </row>
    <row r="13" spans="1:26" x14ac:dyDescent="0.2">
      <c r="A13" s="8">
        <v>4</v>
      </c>
      <c r="B13" s="9">
        <v>1132</v>
      </c>
      <c r="C13" s="9">
        <v>3</v>
      </c>
      <c r="D13" s="9">
        <v>3</v>
      </c>
      <c r="E13" s="9">
        <v>1</v>
      </c>
      <c r="F13" s="9">
        <v>1</v>
      </c>
      <c r="G13" t="s">
        <v>17</v>
      </c>
      <c r="H13" s="9">
        <v>4</v>
      </c>
      <c r="I13" s="9">
        <v>4</v>
      </c>
      <c r="J13" s="9">
        <v>123</v>
      </c>
      <c r="K13" s="10">
        <v>100</v>
      </c>
      <c r="L13" s="10">
        <v>3.2520325203252001</v>
      </c>
      <c r="M13" s="10">
        <v>0</v>
      </c>
      <c r="N13" s="1">
        <v>3.6946762613618399E-6</v>
      </c>
      <c r="O13" s="10">
        <v>5.4324236097897902</v>
      </c>
      <c r="P13" s="14" t="s">
        <v>18</v>
      </c>
      <c r="Q13" s="11">
        <v>78.249795588279596</v>
      </c>
      <c r="R13" s="10">
        <v>2.44</v>
      </c>
      <c r="S13" s="10">
        <v>43.25</v>
      </c>
      <c r="T13" s="10">
        <v>2.82</v>
      </c>
      <c r="V13" s="9">
        <f t="shared" si="0"/>
        <v>6</v>
      </c>
      <c r="W13" s="9">
        <f t="shared" si="1"/>
        <v>12</v>
      </c>
      <c r="X13">
        <f t="shared" si="2"/>
        <v>1</v>
      </c>
      <c r="Y13">
        <f t="shared" si="3"/>
        <v>0</v>
      </c>
      <c r="Z13">
        <v>12</v>
      </c>
    </row>
    <row r="14" spans="1:26" x14ac:dyDescent="0.2">
      <c r="A14" s="8">
        <v>4</v>
      </c>
      <c r="B14" s="9">
        <v>1132</v>
      </c>
      <c r="C14" s="9">
        <v>3</v>
      </c>
      <c r="D14" s="9">
        <v>3</v>
      </c>
      <c r="E14" s="9">
        <v>1</v>
      </c>
      <c r="F14" s="9">
        <v>2</v>
      </c>
      <c r="G14" t="s">
        <v>19</v>
      </c>
      <c r="H14" s="9">
        <v>8</v>
      </c>
      <c r="I14" s="9">
        <v>126</v>
      </c>
      <c r="J14" s="9">
        <v>8</v>
      </c>
      <c r="K14" s="10">
        <v>6.3492063492063409</v>
      </c>
      <c r="L14" s="10">
        <v>100</v>
      </c>
      <c r="M14" s="10">
        <v>3.58771663119489</v>
      </c>
      <c r="N14" s="1">
        <v>7.3156051570875692E-12</v>
      </c>
      <c r="O14" s="10">
        <v>11.1357497426058</v>
      </c>
      <c r="P14" s="14">
        <v>27.872881355932201</v>
      </c>
      <c r="Q14" s="11">
        <v>176.44500139311401</v>
      </c>
      <c r="R14" s="10">
        <v>2.27</v>
      </c>
      <c r="S14" s="10">
        <v>43.25</v>
      </c>
      <c r="T14" s="10">
        <v>2.82</v>
      </c>
      <c r="V14" s="9">
        <f t="shared" si="0"/>
        <v>6</v>
      </c>
      <c r="W14" s="9">
        <f t="shared" si="1"/>
        <v>13</v>
      </c>
      <c r="X14">
        <f t="shared" si="2"/>
        <v>1</v>
      </c>
      <c r="Y14">
        <f t="shared" si="3"/>
        <v>0</v>
      </c>
      <c r="Z14">
        <v>13</v>
      </c>
    </row>
    <row r="15" spans="1:26" x14ac:dyDescent="0.2">
      <c r="A15" s="8">
        <v>4</v>
      </c>
      <c r="B15" s="9">
        <v>1132</v>
      </c>
      <c r="C15" s="9">
        <v>3</v>
      </c>
      <c r="D15" s="9">
        <v>3</v>
      </c>
      <c r="E15" s="9">
        <v>1</v>
      </c>
      <c r="F15" s="9">
        <v>3</v>
      </c>
      <c r="G15" t="s">
        <v>20</v>
      </c>
      <c r="H15" s="9">
        <v>4</v>
      </c>
      <c r="I15" s="9">
        <v>4</v>
      </c>
      <c r="J15" s="9">
        <v>123</v>
      </c>
      <c r="K15" s="10">
        <v>100</v>
      </c>
      <c r="L15" s="10">
        <v>3.2520325203252001</v>
      </c>
      <c r="M15" s="10">
        <v>0</v>
      </c>
      <c r="N15" s="1">
        <v>3.6946762613618399E-6</v>
      </c>
      <c r="O15" s="10">
        <v>5.4324236097897902</v>
      </c>
      <c r="P15" s="14" t="s">
        <v>18</v>
      </c>
      <c r="Q15" s="11">
        <v>78.249795588279596</v>
      </c>
      <c r="R15" s="10">
        <v>40.770000000000003</v>
      </c>
      <c r="S15" s="10">
        <v>43.25</v>
      </c>
      <c r="T15" s="10">
        <v>2.82</v>
      </c>
      <c r="V15" s="9">
        <f t="shared" si="0"/>
        <v>6</v>
      </c>
      <c r="W15" s="9">
        <f t="shared" si="1"/>
        <v>14</v>
      </c>
      <c r="X15">
        <f t="shared" si="2"/>
        <v>1</v>
      </c>
      <c r="Y15">
        <f t="shared" si="3"/>
        <v>0</v>
      </c>
      <c r="Z15">
        <v>14</v>
      </c>
    </row>
    <row r="16" spans="1:26" x14ac:dyDescent="0.2">
      <c r="A16" s="8">
        <v>4</v>
      </c>
      <c r="B16" s="9">
        <v>1711</v>
      </c>
      <c r="C16" s="9">
        <v>2</v>
      </c>
      <c r="D16" s="9">
        <v>2</v>
      </c>
      <c r="E16" s="9">
        <v>1</v>
      </c>
      <c r="F16" s="9">
        <v>1</v>
      </c>
      <c r="G16" t="s">
        <v>21</v>
      </c>
      <c r="H16" s="9">
        <v>6</v>
      </c>
      <c r="I16" s="9">
        <v>231</v>
      </c>
      <c r="J16" s="9">
        <v>6</v>
      </c>
      <c r="K16" s="10">
        <v>2.5974025974025898</v>
      </c>
      <c r="L16" s="10">
        <v>100</v>
      </c>
      <c r="M16" s="10">
        <v>6.8368277119416492</v>
      </c>
      <c r="N16" s="1">
        <v>2.22606435775939E-7</v>
      </c>
      <c r="O16" s="10">
        <v>6.65246228392955</v>
      </c>
      <c r="P16" s="14">
        <v>14.626666666666599</v>
      </c>
      <c r="Q16" s="11">
        <v>66.123473160508297</v>
      </c>
      <c r="R16" s="10">
        <v>5.64</v>
      </c>
      <c r="S16" s="10">
        <v>23.04</v>
      </c>
      <c r="T16" s="10">
        <v>1.5</v>
      </c>
      <c r="V16" s="9">
        <f t="shared" si="0"/>
        <v>7</v>
      </c>
      <c r="W16" s="9">
        <f t="shared" si="1"/>
        <v>15</v>
      </c>
      <c r="X16">
        <f t="shared" si="2"/>
        <v>2</v>
      </c>
      <c r="Y16">
        <f t="shared" si="3"/>
        <v>0</v>
      </c>
      <c r="Z16">
        <v>15</v>
      </c>
    </row>
    <row r="17" spans="1:26" x14ac:dyDescent="0.2">
      <c r="A17" s="8">
        <v>4</v>
      </c>
      <c r="B17" s="9">
        <v>1711</v>
      </c>
      <c r="C17" s="9">
        <v>2</v>
      </c>
      <c r="D17" s="9">
        <v>2</v>
      </c>
      <c r="E17" s="9">
        <v>1</v>
      </c>
      <c r="F17" s="9">
        <v>2</v>
      </c>
      <c r="G17" t="s">
        <v>22</v>
      </c>
      <c r="H17" s="9">
        <v>6</v>
      </c>
      <c r="I17" s="9">
        <v>6</v>
      </c>
      <c r="J17" s="9">
        <v>231</v>
      </c>
      <c r="K17" s="10">
        <v>100</v>
      </c>
      <c r="L17" s="10">
        <v>2.5974025974025898</v>
      </c>
      <c r="M17" s="10">
        <v>0</v>
      </c>
      <c r="N17" s="1">
        <v>2.22606435775939E-7</v>
      </c>
      <c r="O17" s="10">
        <v>6.65246228392955</v>
      </c>
      <c r="P17" s="14" t="s">
        <v>23</v>
      </c>
      <c r="Q17" s="11">
        <v>66.123473160508297</v>
      </c>
      <c r="R17" s="10">
        <v>0.39</v>
      </c>
      <c r="S17" s="10">
        <v>23.04</v>
      </c>
      <c r="T17" s="10">
        <v>1.5</v>
      </c>
      <c r="V17" s="9">
        <f t="shared" si="0"/>
        <v>7</v>
      </c>
      <c r="W17" s="9">
        <f t="shared" si="1"/>
        <v>16</v>
      </c>
      <c r="X17">
        <f t="shared" si="2"/>
        <v>2</v>
      </c>
      <c r="Y17">
        <f t="shared" si="3"/>
        <v>0</v>
      </c>
      <c r="Z17">
        <v>16</v>
      </c>
    </row>
    <row r="18" spans="1:26" x14ac:dyDescent="0.2">
      <c r="A18" s="8">
        <v>5</v>
      </c>
      <c r="B18" s="9">
        <v>125</v>
      </c>
      <c r="C18" s="9">
        <v>2</v>
      </c>
      <c r="D18" s="9">
        <v>2</v>
      </c>
      <c r="E18" s="9">
        <v>1</v>
      </c>
      <c r="F18" s="9">
        <v>1</v>
      </c>
      <c r="G18" t="s">
        <v>24</v>
      </c>
      <c r="H18" s="9">
        <v>5</v>
      </c>
      <c r="I18" s="9">
        <v>45</v>
      </c>
      <c r="J18" s="9">
        <v>17</v>
      </c>
      <c r="K18" s="10">
        <v>11.1111111111111</v>
      </c>
      <c r="L18" s="10">
        <v>29.411764705882298</v>
      </c>
      <c r="M18" s="10">
        <v>1.2195121951219501</v>
      </c>
      <c r="N18" s="1">
        <v>4.1346796736017702E-6</v>
      </c>
      <c r="O18" s="10">
        <v>5.3835581309423599</v>
      </c>
      <c r="P18" s="14">
        <v>24.117647058823501</v>
      </c>
      <c r="Q18" s="11">
        <v>80.004409000983301</v>
      </c>
      <c r="R18" s="10">
        <v>49.04</v>
      </c>
      <c r="S18" s="10">
        <v>20.46</v>
      </c>
      <c r="T18" s="10">
        <v>1.33</v>
      </c>
      <c r="V18" s="9">
        <f t="shared" si="0"/>
        <v>8</v>
      </c>
      <c r="W18" s="9">
        <f t="shared" si="1"/>
        <v>17</v>
      </c>
      <c r="X18">
        <f t="shared" si="2"/>
        <v>2</v>
      </c>
      <c r="Y18">
        <f t="shared" si="3"/>
        <v>0</v>
      </c>
      <c r="Z18">
        <v>17</v>
      </c>
    </row>
    <row r="19" spans="1:26" x14ac:dyDescent="0.2">
      <c r="A19" s="8">
        <v>5</v>
      </c>
      <c r="B19" s="9">
        <v>125</v>
      </c>
      <c r="C19" s="9">
        <v>2</v>
      </c>
      <c r="D19" s="9">
        <v>2</v>
      </c>
      <c r="E19" s="9">
        <v>1</v>
      </c>
      <c r="F19" s="9">
        <v>2</v>
      </c>
      <c r="G19" t="s">
        <v>25</v>
      </c>
      <c r="H19" s="9">
        <v>5</v>
      </c>
      <c r="I19" s="9">
        <v>17</v>
      </c>
      <c r="J19" s="9">
        <v>45</v>
      </c>
      <c r="K19" s="10">
        <v>29.411764705882298</v>
      </c>
      <c r="L19" s="10">
        <v>11.1111111111111</v>
      </c>
      <c r="M19" s="10">
        <v>0.36900369003690003</v>
      </c>
      <c r="N19" s="1">
        <v>4.13467967360176E-6</v>
      </c>
      <c r="O19" s="10">
        <v>5.3835581309423599</v>
      </c>
      <c r="P19" s="14">
        <v>30.1111111111111</v>
      </c>
      <c r="Q19" s="11">
        <v>80.004409000983301</v>
      </c>
      <c r="R19" s="10">
        <v>0.65</v>
      </c>
      <c r="S19" s="10">
        <v>20.46</v>
      </c>
      <c r="T19" s="10">
        <v>1.33</v>
      </c>
      <c r="V19" s="9">
        <f t="shared" si="0"/>
        <v>8</v>
      </c>
      <c r="W19" s="9">
        <f t="shared" si="1"/>
        <v>18</v>
      </c>
      <c r="X19">
        <f t="shared" si="2"/>
        <v>2</v>
      </c>
      <c r="Y19">
        <f t="shared" si="3"/>
        <v>0</v>
      </c>
      <c r="Z19">
        <v>18</v>
      </c>
    </row>
    <row r="20" spans="1:26" x14ac:dyDescent="0.2">
      <c r="A20" s="8">
        <v>5</v>
      </c>
      <c r="B20" s="9">
        <v>290</v>
      </c>
      <c r="C20" s="9">
        <v>2</v>
      </c>
      <c r="D20" s="9">
        <v>2</v>
      </c>
      <c r="E20" s="9">
        <v>1</v>
      </c>
      <c r="F20" s="9">
        <v>1</v>
      </c>
      <c r="G20" t="s">
        <v>26</v>
      </c>
      <c r="H20" s="9">
        <v>4</v>
      </c>
      <c r="I20" s="9">
        <v>10</v>
      </c>
      <c r="J20" s="9">
        <v>27</v>
      </c>
      <c r="K20" s="10">
        <v>40</v>
      </c>
      <c r="L20" s="10">
        <v>14.814814814814801</v>
      </c>
      <c r="M20" s="10">
        <v>0.18348623853210999</v>
      </c>
      <c r="N20" s="1">
        <v>1.4502770982190599E-6</v>
      </c>
      <c r="O20" s="10">
        <v>5.8385490110546003</v>
      </c>
      <c r="P20" s="14">
        <v>80.740740740740705</v>
      </c>
      <c r="Q20" s="11">
        <v>144.283617352297</v>
      </c>
      <c r="R20" s="10">
        <v>2.25</v>
      </c>
      <c r="S20" s="10">
        <v>22.21</v>
      </c>
      <c r="T20" s="10">
        <v>1.45</v>
      </c>
      <c r="V20" s="9">
        <f t="shared" si="0"/>
        <v>9</v>
      </c>
      <c r="W20" s="9">
        <f t="shared" si="1"/>
        <v>19</v>
      </c>
      <c r="X20">
        <f t="shared" si="2"/>
        <v>2</v>
      </c>
      <c r="Y20">
        <f t="shared" si="3"/>
        <v>0</v>
      </c>
      <c r="Z20">
        <v>19</v>
      </c>
    </row>
    <row r="21" spans="1:26" x14ac:dyDescent="0.2">
      <c r="A21" s="8">
        <v>5</v>
      </c>
      <c r="B21" s="9">
        <v>290</v>
      </c>
      <c r="C21" s="9">
        <v>2</v>
      </c>
      <c r="D21" s="9">
        <v>2</v>
      </c>
      <c r="E21" s="9">
        <v>1</v>
      </c>
      <c r="F21" s="9">
        <v>2</v>
      </c>
      <c r="G21" t="s">
        <v>27</v>
      </c>
      <c r="H21" s="9">
        <v>4</v>
      </c>
      <c r="I21" s="9">
        <v>27</v>
      </c>
      <c r="J21" s="9">
        <v>10</v>
      </c>
      <c r="K21" s="10">
        <v>14.814814814814801</v>
      </c>
      <c r="L21" s="10">
        <v>40</v>
      </c>
      <c r="M21" s="10">
        <v>0.699726194097961</v>
      </c>
      <c r="N21" s="1">
        <v>1.4502770982190599E-6</v>
      </c>
      <c r="O21" s="10">
        <v>5.8385490110546003</v>
      </c>
      <c r="P21" s="14">
        <v>57.165217391304303</v>
      </c>
      <c r="Q21" s="11">
        <v>144.283617352297</v>
      </c>
      <c r="R21" s="10">
        <v>1.79</v>
      </c>
      <c r="S21" s="10">
        <v>22.21</v>
      </c>
      <c r="T21" s="10">
        <v>1.45</v>
      </c>
      <c r="V21" s="9">
        <f t="shared" si="0"/>
        <v>9</v>
      </c>
      <c r="W21" s="9">
        <f t="shared" si="1"/>
        <v>20</v>
      </c>
      <c r="X21">
        <f t="shared" si="2"/>
        <v>2</v>
      </c>
      <c r="Y21">
        <f t="shared" si="3"/>
        <v>0</v>
      </c>
      <c r="Z21">
        <v>20</v>
      </c>
    </row>
    <row r="22" spans="1:26" x14ac:dyDescent="0.2">
      <c r="A22" s="8">
        <v>5</v>
      </c>
      <c r="B22" s="9">
        <v>737</v>
      </c>
      <c r="C22" s="9">
        <v>2</v>
      </c>
      <c r="D22" s="9">
        <v>2</v>
      </c>
      <c r="E22" s="9">
        <v>1</v>
      </c>
      <c r="F22" s="9">
        <v>1</v>
      </c>
      <c r="G22" t="s">
        <v>28</v>
      </c>
      <c r="H22" s="9">
        <v>11</v>
      </c>
      <c r="I22" s="9">
        <v>53</v>
      </c>
      <c r="J22" s="9">
        <v>112</v>
      </c>
      <c r="K22" s="10">
        <v>20.754716981131999</v>
      </c>
      <c r="L22" s="10">
        <v>9.8214285714285694</v>
      </c>
      <c r="M22" s="10">
        <v>1.31868131868131</v>
      </c>
      <c r="N22" s="1">
        <v>1.95073325879118E-6</v>
      </c>
      <c r="O22" s="10">
        <v>5.7098021115152298</v>
      </c>
      <c r="P22" s="14">
        <v>7.4479166666666599</v>
      </c>
      <c r="Q22" s="11">
        <v>44.225095273298997</v>
      </c>
      <c r="R22" s="10">
        <v>1.51</v>
      </c>
      <c r="S22" s="10">
        <v>23.1</v>
      </c>
      <c r="T22" s="10">
        <v>1.51</v>
      </c>
      <c r="V22" s="9">
        <f t="shared" si="0"/>
        <v>10</v>
      </c>
      <c r="W22" s="9">
        <f t="shared" si="1"/>
        <v>21</v>
      </c>
      <c r="X22">
        <f t="shared" si="2"/>
        <v>2</v>
      </c>
      <c r="Y22">
        <f t="shared" si="3"/>
        <v>0</v>
      </c>
      <c r="Z22">
        <v>21</v>
      </c>
    </row>
    <row r="23" spans="1:26" x14ac:dyDescent="0.2">
      <c r="A23" s="8">
        <v>5</v>
      </c>
      <c r="B23" s="9">
        <v>737</v>
      </c>
      <c r="C23" s="9">
        <v>2</v>
      </c>
      <c r="D23" s="9">
        <v>2</v>
      </c>
      <c r="E23" s="9">
        <v>1</v>
      </c>
      <c r="F23" s="9">
        <v>2</v>
      </c>
      <c r="G23" t="s">
        <v>29</v>
      </c>
      <c r="H23" s="9">
        <v>11</v>
      </c>
      <c r="I23" s="9">
        <v>113</v>
      </c>
      <c r="J23" s="9">
        <v>54</v>
      </c>
      <c r="K23" s="10">
        <v>9.7345132743362797</v>
      </c>
      <c r="L23" s="10">
        <v>20.370370370370299</v>
      </c>
      <c r="M23" s="10">
        <v>3.1452358926919501</v>
      </c>
      <c r="N23" s="1">
        <v>2.6050605433896402E-6</v>
      </c>
      <c r="O23" s="10">
        <v>5.5841821789462198</v>
      </c>
      <c r="P23" s="14">
        <v>6.4765795206971601</v>
      </c>
      <c r="Q23" s="11">
        <v>42.551921673886099</v>
      </c>
      <c r="R23" s="10">
        <v>3.03</v>
      </c>
      <c r="S23" s="10">
        <v>23.1</v>
      </c>
      <c r="T23" s="10">
        <v>1.51</v>
      </c>
      <c r="V23" s="9">
        <f t="shared" si="0"/>
        <v>10</v>
      </c>
      <c r="W23" s="9">
        <f t="shared" si="1"/>
        <v>22</v>
      </c>
      <c r="X23">
        <f t="shared" si="2"/>
        <v>2</v>
      </c>
      <c r="Y23">
        <f t="shared" si="3"/>
        <v>0</v>
      </c>
      <c r="Z23">
        <v>22</v>
      </c>
    </row>
    <row r="24" spans="1:26" x14ac:dyDescent="0.2">
      <c r="A24" s="8">
        <v>6</v>
      </c>
      <c r="B24" s="9">
        <v>222</v>
      </c>
      <c r="C24" s="9">
        <v>3</v>
      </c>
      <c r="D24" s="9">
        <v>2</v>
      </c>
      <c r="E24" s="9">
        <v>2</v>
      </c>
      <c r="F24" s="9">
        <v>1</v>
      </c>
      <c r="G24" t="s">
        <v>30</v>
      </c>
      <c r="H24" s="9">
        <v>2</v>
      </c>
      <c r="I24" s="9">
        <v>11</v>
      </c>
      <c r="J24" s="9">
        <v>16</v>
      </c>
      <c r="K24" s="10">
        <v>18.181818181818098</v>
      </c>
      <c r="L24" s="10">
        <v>12.5</v>
      </c>
      <c r="M24" s="10">
        <v>0.27430661383724397</v>
      </c>
      <c r="N24" s="1">
        <v>2.3681883733988902E-3</v>
      </c>
      <c r="O24" s="10">
        <v>2.62558375538074</v>
      </c>
      <c r="P24" s="14">
        <v>45.5694444444444</v>
      </c>
      <c r="Q24" s="11">
        <v>39.525574956580598</v>
      </c>
      <c r="R24" s="10">
        <v>95.3</v>
      </c>
      <c r="S24" s="10">
        <v>23.16</v>
      </c>
      <c r="T24" s="10">
        <v>1.51</v>
      </c>
      <c r="V24" s="9">
        <f t="shared" si="0"/>
        <v>11</v>
      </c>
      <c r="W24" s="9">
        <f t="shared" si="1"/>
        <v>23</v>
      </c>
      <c r="X24">
        <f t="shared" si="2"/>
        <v>2</v>
      </c>
      <c r="Y24">
        <f t="shared" si="3"/>
        <v>0</v>
      </c>
      <c r="Z24">
        <v>23</v>
      </c>
    </row>
    <row r="25" spans="1:26" x14ac:dyDescent="0.2">
      <c r="A25" s="8">
        <v>6</v>
      </c>
      <c r="B25" s="9">
        <v>222</v>
      </c>
      <c r="C25" s="9">
        <v>3</v>
      </c>
      <c r="D25" s="9">
        <v>2</v>
      </c>
      <c r="E25" s="9">
        <v>2</v>
      </c>
      <c r="F25" s="9">
        <v>1</v>
      </c>
      <c r="G25" t="s">
        <v>31</v>
      </c>
      <c r="H25" s="9">
        <v>4</v>
      </c>
      <c r="I25" s="9">
        <v>24</v>
      </c>
      <c r="J25" s="9">
        <v>16</v>
      </c>
      <c r="K25" s="10">
        <v>16.6666666666666</v>
      </c>
      <c r="L25" s="10">
        <v>25</v>
      </c>
      <c r="M25" s="10">
        <v>0.60957025297165501</v>
      </c>
      <c r="N25" s="1">
        <v>7.4234715978840597E-6</v>
      </c>
      <c r="O25" s="10">
        <v>5.1293929487356102</v>
      </c>
      <c r="P25" s="14">
        <v>41.012500000000003</v>
      </c>
      <c r="Q25" s="11">
        <v>99.497820623638404</v>
      </c>
      <c r="R25" s="10">
        <v>26.4</v>
      </c>
      <c r="S25" s="10">
        <v>23.16</v>
      </c>
      <c r="T25" s="10">
        <v>1.51</v>
      </c>
      <c r="V25" s="9">
        <f t="shared" si="0"/>
        <v>11</v>
      </c>
      <c r="W25" s="9">
        <f t="shared" si="1"/>
        <v>23</v>
      </c>
      <c r="X25">
        <f t="shared" si="2"/>
        <v>2</v>
      </c>
      <c r="Y25">
        <f t="shared" si="3"/>
        <v>0</v>
      </c>
      <c r="Z25">
        <v>24</v>
      </c>
    </row>
    <row r="26" spans="1:26" x14ac:dyDescent="0.2">
      <c r="A26" s="8">
        <v>6</v>
      </c>
      <c r="B26" s="9">
        <v>222</v>
      </c>
      <c r="C26" s="9">
        <v>3</v>
      </c>
      <c r="D26" s="9">
        <v>2</v>
      </c>
      <c r="E26" s="9">
        <v>1</v>
      </c>
      <c r="F26" s="9">
        <v>2</v>
      </c>
      <c r="G26" t="s">
        <v>32</v>
      </c>
      <c r="H26" s="9">
        <v>6</v>
      </c>
      <c r="I26" s="9">
        <v>16</v>
      </c>
      <c r="J26" s="9">
        <v>35</v>
      </c>
      <c r="K26" s="10">
        <v>37.5</v>
      </c>
      <c r="L26" s="10">
        <v>17.1428571428571</v>
      </c>
      <c r="M26" s="10">
        <v>0.30656039239730204</v>
      </c>
      <c r="N26" s="1">
        <v>1.35696393377782E-8</v>
      </c>
      <c r="O26" s="10">
        <v>7.8674316951327601</v>
      </c>
      <c r="P26" s="14">
        <v>55.92</v>
      </c>
      <c r="Q26" s="11">
        <v>169.88587231211801</v>
      </c>
      <c r="R26" s="10">
        <v>3.99</v>
      </c>
      <c r="S26" s="10">
        <v>23.16</v>
      </c>
      <c r="T26" s="10">
        <v>1.51</v>
      </c>
      <c r="V26" s="9">
        <f t="shared" si="0"/>
        <v>11</v>
      </c>
      <c r="W26" s="9">
        <f t="shared" si="1"/>
        <v>24</v>
      </c>
      <c r="X26">
        <f t="shared" si="2"/>
        <v>2</v>
      </c>
      <c r="Y26">
        <f t="shared" si="3"/>
        <v>0</v>
      </c>
      <c r="Z26">
        <v>25</v>
      </c>
    </row>
    <row r="27" spans="1:26" x14ac:dyDescent="0.2">
      <c r="A27" s="8">
        <v>6</v>
      </c>
      <c r="B27" s="9">
        <v>1479</v>
      </c>
      <c r="C27" s="9">
        <v>2</v>
      </c>
      <c r="D27" s="9">
        <v>2</v>
      </c>
      <c r="E27" s="9">
        <v>1</v>
      </c>
      <c r="F27" s="9">
        <v>1</v>
      </c>
      <c r="G27" t="s">
        <v>33</v>
      </c>
      <c r="H27" s="9">
        <v>4</v>
      </c>
      <c r="I27" s="9">
        <v>64</v>
      </c>
      <c r="J27" s="9">
        <v>6</v>
      </c>
      <c r="K27" s="10">
        <v>6.25</v>
      </c>
      <c r="L27" s="10">
        <v>66.6666666666666</v>
      </c>
      <c r="M27" s="10">
        <v>1.8231540565177702</v>
      </c>
      <c r="N27" s="1">
        <v>3.7663998058519001E-6</v>
      </c>
      <c r="O27" s="10">
        <v>5.4240735812234</v>
      </c>
      <c r="P27" s="14">
        <v>36.566666666666599</v>
      </c>
      <c r="Q27" s="11">
        <v>100.422774726443</v>
      </c>
      <c r="R27" s="10">
        <v>2.02</v>
      </c>
      <c r="S27" s="10">
        <v>21.23</v>
      </c>
      <c r="T27" s="10">
        <v>1.38</v>
      </c>
      <c r="V27" s="9">
        <f t="shared" si="0"/>
        <v>12</v>
      </c>
      <c r="W27" s="9">
        <f t="shared" si="1"/>
        <v>25</v>
      </c>
      <c r="X27">
        <f t="shared" si="2"/>
        <v>2</v>
      </c>
      <c r="Y27">
        <f t="shared" si="3"/>
        <v>0</v>
      </c>
      <c r="Z27">
        <v>26</v>
      </c>
    </row>
    <row r="28" spans="1:26" x14ac:dyDescent="0.2">
      <c r="A28" s="8">
        <v>6</v>
      </c>
      <c r="B28" s="9">
        <v>1479</v>
      </c>
      <c r="C28" s="9">
        <v>2</v>
      </c>
      <c r="D28" s="9">
        <v>2</v>
      </c>
      <c r="E28" s="9">
        <v>1</v>
      </c>
      <c r="F28" s="9">
        <v>2</v>
      </c>
      <c r="G28" t="s">
        <v>34</v>
      </c>
      <c r="H28" s="9">
        <v>4</v>
      </c>
      <c r="I28" s="9">
        <v>6</v>
      </c>
      <c r="J28" s="9">
        <v>64</v>
      </c>
      <c r="K28" s="10">
        <v>66.6666666666666</v>
      </c>
      <c r="L28" s="10">
        <v>6.25</v>
      </c>
      <c r="M28" s="10">
        <v>6.1862047633776597E-2</v>
      </c>
      <c r="N28" s="1">
        <v>3.7663998058519098E-6</v>
      </c>
      <c r="O28" s="10">
        <v>5.4240735812234</v>
      </c>
      <c r="P28" s="14">
        <v>101.03125</v>
      </c>
      <c r="Q28" s="11">
        <v>100.422774726443</v>
      </c>
      <c r="R28" s="10">
        <v>7.0000000000000007E-2</v>
      </c>
      <c r="S28" s="10">
        <v>21.23</v>
      </c>
      <c r="T28" s="10">
        <v>1.38</v>
      </c>
      <c r="V28" s="9">
        <f t="shared" si="0"/>
        <v>12</v>
      </c>
      <c r="W28" s="9">
        <f t="shared" si="1"/>
        <v>26</v>
      </c>
      <c r="X28">
        <f t="shared" si="2"/>
        <v>2</v>
      </c>
      <c r="Y28">
        <f t="shared" si="3"/>
        <v>0</v>
      </c>
      <c r="Z28">
        <v>27</v>
      </c>
    </row>
    <row r="29" spans="1:26" x14ac:dyDescent="0.2">
      <c r="A29" s="8">
        <v>7</v>
      </c>
      <c r="B29" s="9">
        <v>1201</v>
      </c>
      <c r="C29" s="9">
        <v>2</v>
      </c>
      <c r="D29" s="9">
        <v>2</v>
      </c>
      <c r="E29" s="9">
        <v>1</v>
      </c>
      <c r="F29" s="9">
        <v>1</v>
      </c>
      <c r="G29" t="s">
        <v>35</v>
      </c>
      <c r="H29" s="9">
        <v>7</v>
      </c>
      <c r="I29" s="9">
        <v>90</v>
      </c>
      <c r="J29" s="9">
        <v>24</v>
      </c>
      <c r="K29" s="10">
        <v>7.7777777777777697</v>
      </c>
      <c r="L29" s="10">
        <v>29.1666666666666</v>
      </c>
      <c r="M29" s="10">
        <v>2.5358997861289301</v>
      </c>
      <c r="N29" s="1">
        <v>4.2396693481089899E-6</v>
      </c>
      <c r="O29" s="10">
        <v>5.3726680127212401</v>
      </c>
      <c r="P29" s="14">
        <v>11.501506024096299</v>
      </c>
      <c r="Q29" s="11">
        <v>54.001546469524399</v>
      </c>
      <c r="R29" s="10">
        <v>38.46</v>
      </c>
      <c r="S29" s="10">
        <v>21.16</v>
      </c>
      <c r="T29" s="10">
        <v>1.38</v>
      </c>
      <c r="V29" s="9">
        <f t="shared" si="0"/>
        <v>13</v>
      </c>
      <c r="W29" s="9">
        <f t="shared" si="1"/>
        <v>27</v>
      </c>
      <c r="X29">
        <f t="shared" si="2"/>
        <v>2</v>
      </c>
      <c r="Y29">
        <f t="shared" si="3"/>
        <v>0</v>
      </c>
      <c r="Z29">
        <v>28</v>
      </c>
    </row>
    <row r="30" spans="1:26" x14ac:dyDescent="0.2">
      <c r="A30" s="8">
        <v>7</v>
      </c>
      <c r="B30" s="9">
        <v>1201</v>
      </c>
      <c r="C30" s="9">
        <v>2</v>
      </c>
      <c r="D30" s="9">
        <v>2</v>
      </c>
      <c r="E30" s="9">
        <v>1</v>
      </c>
      <c r="F30" s="9">
        <v>2</v>
      </c>
      <c r="G30" t="s">
        <v>36</v>
      </c>
      <c r="H30" s="9">
        <v>7</v>
      </c>
      <c r="I30" s="9">
        <v>24</v>
      </c>
      <c r="J30" s="9">
        <v>93</v>
      </c>
      <c r="K30" s="10">
        <v>29.1666666666666</v>
      </c>
      <c r="L30" s="10">
        <v>7.5268817204300991</v>
      </c>
      <c r="M30" s="10">
        <v>0.53058676654182202</v>
      </c>
      <c r="N30" s="1">
        <v>5.30206982750007E-6</v>
      </c>
      <c r="O30" s="10">
        <v>5.2755545569691504</v>
      </c>
      <c r="P30" s="14">
        <v>14.1859582542694</v>
      </c>
      <c r="Q30" s="11">
        <v>51.918345045908602</v>
      </c>
      <c r="R30" s="10">
        <v>0.97</v>
      </c>
      <c r="S30" s="10">
        <v>21.16</v>
      </c>
      <c r="T30" s="10">
        <v>1.38</v>
      </c>
      <c r="V30" s="9">
        <f t="shared" si="0"/>
        <v>13</v>
      </c>
      <c r="W30" s="9">
        <f t="shared" si="1"/>
        <v>28</v>
      </c>
      <c r="X30">
        <f t="shared" si="2"/>
        <v>2</v>
      </c>
      <c r="Y30">
        <f t="shared" si="3"/>
        <v>0</v>
      </c>
      <c r="Z30">
        <v>29</v>
      </c>
    </row>
    <row r="31" spans="1:26" x14ac:dyDescent="0.2">
      <c r="A31" s="8">
        <v>7</v>
      </c>
      <c r="B31" s="9">
        <v>1479</v>
      </c>
      <c r="C31" s="9">
        <v>2</v>
      </c>
      <c r="D31" s="9">
        <v>2</v>
      </c>
      <c r="E31" s="9">
        <v>1</v>
      </c>
      <c r="F31" s="9">
        <v>1</v>
      </c>
      <c r="G31" t="s">
        <v>33</v>
      </c>
      <c r="H31" s="9">
        <v>6</v>
      </c>
      <c r="I31" s="9">
        <v>64</v>
      </c>
      <c r="J31" s="9">
        <v>24</v>
      </c>
      <c r="K31" s="10">
        <v>9.375</v>
      </c>
      <c r="L31" s="10">
        <v>25</v>
      </c>
      <c r="M31" s="10">
        <v>1.77207454934311</v>
      </c>
      <c r="N31" s="1">
        <v>8.6425631956412205E-6</v>
      </c>
      <c r="O31" s="10">
        <v>5.0633574361514304</v>
      </c>
      <c r="P31" s="14">
        <v>14.1077586206896</v>
      </c>
      <c r="Q31" s="11">
        <v>55.880640608380197</v>
      </c>
      <c r="R31" s="10">
        <v>2.02</v>
      </c>
      <c r="S31" s="10">
        <v>20.85</v>
      </c>
      <c r="T31" s="10">
        <v>1.36</v>
      </c>
      <c r="V31" s="9">
        <f t="shared" si="0"/>
        <v>14</v>
      </c>
      <c r="W31" s="9">
        <f t="shared" si="1"/>
        <v>29</v>
      </c>
      <c r="X31">
        <f t="shared" si="2"/>
        <v>2</v>
      </c>
      <c r="Y31">
        <f t="shared" si="3"/>
        <v>0</v>
      </c>
      <c r="Z31">
        <v>30</v>
      </c>
    </row>
    <row r="32" spans="1:26" x14ac:dyDescent="0.2">
      <c r="A32" s="8">
        <v>7</v>
      </c>
      <c r="B32" s="9">
        <v>1479</v>
      </c>
      <c r="C32" s="9">
        <v>2</v>
      </c>
      <c r="D32" s="9">
        <v>2</v>
      </c>
      <c r="E32" s="9">
        <v>1</v>
      </c>
      <c r="F32" s="9">
        <v>2</v>
      </c>
      <c r="G32" t="s">
        <v>37</v>
      </c>
      <c r="H32" s="9">
        <v>6</v>
      </c>
      <c r="I32" s="9">
        <v>24</v>
      </c>
      <c r="J32" s="9">
        <v>64</v>
      </c>
      <c r="K32" s="10">
        <v>25</v>
      </c>
      <c r="L32" s="10">
        <v>9.375</v>
      </c>
      <c r="M32" s="10">
        <v>0.55675842870399006</v>
      </c>
      <c r="N32" s="1">
        <v>8.6425631956412392E-6</v>
      </c>
      <c r="O32" s="10">
        <v>5.0633574361514304</v>
      </c>
      <c r="P32" s="14">
        <v>16.8385416666666</v>
      </c>
      <c r="Q32" s="11">
        <v>55.880640608380197</v>
      </c>
      <c r="R32" s="10">
        <v>1.48</v>
      </c>
      <c r="S32" s="10">
        <v>20.85</v>
      </c>
      <c r="T32" s="10">
        <v>1.36</v>
      </c>
      <c r="V32" s="9">
        <f t="shared" si="0"/>
        <v>14</v>
      </c>
      <c r="W32" s="9">
        <f t="shared" si="1"/>
        <v>30</v>
      </c>
      <c r="X32">
        <f t="shared" si="2"/>
        <v>2</v>
      </c>
      <c r="Y32">
        <f t="shared" si="3"/>
        <v>0</v>
      </c>
      <c r="Z32">
        <v>31</v>
      </c>
    </row>
    <row r="33" spans="1:26" x14ac:dyDescent="0.2">
      <c r="A33" s="8">
        <v>9</v>
      </c>
      <c r="B33" s="9">
        <v>561</v>
      </c>
      <c r="C33" s="9">
        <v>2</v>
      </c>
      <c r="D33" s="9">
        <v>2</v>
      </c>
      <c r="E33" s="9">
        <v>1</v>
      </c>
      <c r="F33" s="9">
        <v>1</v>
      </c>
      <c r="G33" t="s">
        <v>38</v>
      </c>
      <c r="H33" s="9">
        <v>4</v>
      </c>
      <c r="I33" s="9">
        <v>96</v>
      </c>
      <c r="J33" s="9">
        <v>4</v>
      </c>
      <c r="K33" s="10">
        <v>4.1666666666666599</v>
      </c>
      <c r="L33" s="10">
        <v>100</v>
      </c>
      <c r="M33" s="10">
        <v>2.79380504099605</v>
      </c>
      <c r="N33" s="1">
        <v>1.35191837900581E-6</v>
      </c>
      <c r="O33" s="10">
        <v>5.8690495277859602</v>
      </c>
      <c r="P33" s="14">
        <v>35.793478260869499</v>
      </c>
      <c r="Q33" s="11">
        <v>101.36508736050401</v>
      </c>
      <c r="R33" s="10">
        <v>9.2799999999999994</v>
      </c>
      <c r="S33" s="10">
        <v>22.3</v>
      </c>
      <c r="T33" s="10">
        <v>1.45</v>
      </c>
      <c r="V33" s="9">
        <f t="shared" si="0"/>
        <v>15</v>
      </c>
      <c r="W33" s="9">
        <f t="shared" si="1"/>
        <v>31</v>
      </c>
      <c r="X33">
        <f t="shared" si="2"/>
        <v>2</v>
      </c>
      <c r="Y33">
        <f t="shared" si="3"/>
        <v>0</v>
      </c>
      <c r="Z33">
        <v>32</v>
      </c>
    </row>
    <row r="34" spans="1:26" x14ac:dyDescent="0.2">
      <c r="A34" s="8">
        <v>9</v>
      </c>
      <c r="B34" s="9">
        <v>561</v>
      </c>
      <c r="C34" s="9">
        <v>2</v>
      </c>
      <c r="D34" s="9">
        <v>2</v>
      </c>
      <c r="E34" s="9">
        <v>1</v>
      </c>
      <c r="F34" s="9">
        <v>2</v>
      </c>
      <c r="G34" t="s">
        <v>39</v>
      </c>
      <c r="H34" s="9">
        <v>4</v>
      </c>
      <c r="I34" s="9">
        <v>4</v>
      </c>
      <c r="J34" s="9">
        <v>96</v>
      </c>
      <c r="K34" s="10">
        <v>100</v>
      </c>
      <c r="L34" s="10">
        <v>4.1666666666666599</v>
      </c>
      <c r="M34" s="10">
        <v>0</v>
      </c>
      <c r="N34" s="1">
        <v>1.35191837900581E-6</v>
      </c>
      <c r="O34" s="10">
        <v>5.8690495277859602</v>
      </c>
      <c r="P34" s="14" t="s">
        <v>40</v>
      </c>
      <c r="Q34" s="11">
        <v>101.36508736050401</v>
      </c>
      <c r="R34" s="10">
        <v>2.4500000000000002</v>
      </c>
      <c r="S34" s="10">
        <v>22.3</v>
      </c>
      <c r="T34" s="10">
        <v>1.45</v>
      </c>
      <c r="V34" s="9">
        <f t="shared" si="0"/>
        <v>15</v>
      </c>
      <c r="W34" s="9">
        <f t="shared" si="1"/>
        <v>32</v>
      </c>
      <c r="X34">
        <f t="shared" si="2"/>
        <v>2</v>
      </c>
      <c r="Y34">
        <f t="shared" si="3"/>
        <v>0</v>
      </c>
      <c r="Z34">
        <v>33</v>
      </c>
    </row>
    <row r="35" spans="1:26" x14ac:dyDescent="0.2">
      <c r="A35" s="8">
        <v>9</v>
      </c>
      <c r="B35" s="9">
        <v>1446</v>
      </c>
      <c r="C35" s="9">
        <v>2</v>
      </c>
      <c r="D35" s="9">
        <v>2</v>
      </c>
      <c r="E35" s="9">
        <v>1</v>
      </c>
      <c r="F35" s="9">
        <v>1</v>
      </c>
      <c r="G35" t="s">
        <v>41</v>
      </c>
      <c r="H35" s="9">
        <v>5</v>
      </c>
      <c r="I35" s="9">
        <v>11</v>
      </c>
      <c r="J35" s="9">
        <v>72</v>
      </c>
      <c r="K35" s="10">
        <v>45.454545454545396</v>
      </c>
      <c r="L35" s="10">
        <v>6.9444444444444402</v>
      </c>
      <c r="M35" s="10">
        <v>0.186046511627906</v>
      </c>
      <c r="N35" s="1">
        <v>3.6049135517514399E-6</v>
      </c>
      <c r="O35" s="10">
        <v>5.4431051454930897</v>
      </c>
      <c r="P35" s="14">
        <v>37.3263888888888</v>
      </c>
      <c r="Q35" s="11">
        <v>77.483468313744297</v>
      </c>
      <c r="R35" s="10">
        <v>0.32</v>
      </c>
      <c r="S35" s="10">
        <v>22.49</v>
      </c>
      <c r="T35" s="10">
        <v>1.46</v>
      </c>
      <c r="V35" s="9">
        <f t="shared" si="0"/>
        <v>16</v>
      </c>
      <c r="W35" s="9">
        <f t="shared" si="1"/>
        <v>33</v>
      </c>
      <c r="X35">
        <f t="shared" si="2"/>
        <v>2</v>
      </c>
      <c r="Y35">
        <f t="shared" si="3"/>
        <v>0</v>
      </c>
      <c r="Z35">
        <v>34</v>
      </c>
    </row>
    <row r="36" spans="1:26" x14ac:dyDescent="0.2">
      <c r="A36" s="8">
        <v>9</v>
      </c>
      <c r="B36" s="9">
        <v>1446</v>
      </c>
      <c r="C36" s="9">
        <v>2</v>
      </c>
      <c r="D36" s="9">
        <v>2</v>
      </c>
      <c r="E36" s="9">
        <v>1</v>
      </c>
      <c r="F36" s="9">
        <v>2</v>
      </c>
      <c r="G36" t="s">
        <v>42</v>
      </c>
      <c r="H36" s="9">
        <v>5</v>
      </c>
      <c r="I36" s="9">
        <v>73</v>
      </c>
      <c r="J36" s="9">
        <v>11</v>
      </c>
      <c r="K36" s="10">
        <v>6.8493150684931505</v>
      </c>
      <c r="L36" s="10">
        <v>45.454545454545396</v>
      </c>
      <c r="M36" s="10">
        <v>2.0693852708460097</v>
      </c>
      <c r="N36" s="1">
        <v>3.8640165935578798E-6</v>
      </c>
      <c r="O36" s="10">
        <v>5.4129610172267402</v>
      </c>
      <c r="P36" s="14">
        <v>21.965240641711201</v>
      </c>
      <c r="Q36" s="11">
        <v>76.326053529877797</v>
      </c>
      <c r="R36" s="10">
        <v>17.38</v>
      </c>
      <c r="S36" s="10">
        <v>22.49</v>
      </c>
      <c r="T36" s="10">
        <v>1.46</v>
      </c>
      <c r="V36" s="9">
        <f t="shared" si="0"/>
        <v>16</v>
      </c>
      <c r="W36" s="9">
        <f t="shared" si="1"/>
        <v>34</v>
      </c>
      <c r="X36">
        <f t="shared" si="2"/>
        <v>2</v>
      </c>
      <c r="Y36">
        <f t="shared" si="3"/>
        <v>0</v>
      </c>
      <c r="Z36">
        <v>35</v>
      </c>
    </row>
    <row r="37" spans="1:26" x14ac:dyDescent="0.2">
      <c r="A37" s="8">
        <v>10</v>
      </c>
      <c r="B37" s="9">
        <v>2645</v>
      </c>
      <c r="C37" s="9">
        <v>2</v>
      </c>
      <c r="D37" s="9">
        <v>2</v>
      </c>
      <c r="E37" s="9">
        <v>1</v>
      </c>
      <c r="F37" s="9">
        <v>1</v>
      </c>
      <c r="G37" t="s">
        <v>43</v>
      </c>
      <c r="H37" s="9">
        <v>5</v>
      </c>
      <c r="I37" s="9">
        <v>39</v>
      </c>
      <c r="J37" s="9">
        <v>18</v>
      </c>
      <c r="K37" s="10">
        <v>12.8205128205128</v>
      </c>
      <c r="L37" s="10">
        <v>27.7777777777777</v>
      </c>
      <c r="M37" s="10">
        <v>1.0369014943580299</v>
      </c>
      <c r="N37" s="1">
        <v>2.72425529620337E-6</v>
      </c>
      <c r="O37" s="10">
        <v>5.5647521961215496</v>
      </c>
      <c r="P37" s="14">
        <v>26.789215686274499</v>
      </c>
      <c r="Q37" s="11">
        <v>87.831487654311303</v>
      </c>
      <c r="R37" s="10">
        <v>109.88</v>
      </c>
      <c r="S37" s="10">
        <v>21.69</v>
      </c>
      <c r="T37" s="10">
        <v>1.41</v>
      </c>
      <c r="V37" s="9">
        <f t="shared" si="0"/>
        <v>17</v>
      </c>
      <c r="W37" s="9">
        <f t="shared" si="1"/>
        <v>35</v>
      </c>
      <c r="X37">
        <f t="shared" si="2"/>
        <v>2</v>
      </c>
      <c r="Y37">
        <f t="shared" si="3"/>
        <v>0</v>
      </c>
      <c r="Z37">
        <v>36</v>
      </c>
    </row>
    <row r="38" spans="1:26" x14ac:dyDescent="0.2">
      <c r="A38" s="8">
        <v>10</v>
      </c>
      <c r="B38" s="9">
        <v>2645</v>
      </c>
      <c r="C38" s="9">
        <v>2</v>
      </c>
      <c r="D38" s="9">
        <v>2</v>
      </c>
      <c r="E38" s="9">
        <v>1</v>
      </c>
      <c r="F38" s="9">
        <v>2</v>
      </c>
      <c r="G38" t="s">
        <v>44</v>
      </c>
      <c r="H38" s="9">
        <v>5</v>
      </c>
      <c r="I38" s="9">
        <v>18</v>
      </c>
      <c r="J38" s="9">
        <v>39</v>
      </c>
      <c r="K38" s="10">
        <v>27.7777777777777</v>
      </c>
      <c r="L38" s="10">
        <v>12.8205128205128</v>
      </c>
      <c r="M38" s="10">
        <v>0.39901780233271894</v>
      </c>
      <c r="N38" s="1">
        <v>2.7242552962033599E-6</v>
      </c>
      <c r="O38" s="10">
        <v>5.5647521961215496</v>
      </c>
      <c r="P38" s="14">
        <v>32.130177514792898</v>
      </c>
      <c r="Q38" s="11">
        <v>87.831487654311303</v>
      </c>
      <c r="R38" s="10">
        <v>0.39</v>
      </c>
      <c r="S38" s="10">
        <v>21.69</v>
      </c>
      <c r="T38" s="10">
        <v>1.41</v>
      </c>
      <c r="V38" s="9">
        <f t="shared" si="0"/>
        <v>17</v>
      </c>
      <c r="W38" s="9">
        <f t="shared" si="1"/>
        <v>36</v>
      </c>
      <c r="X38">
        <f t="shared" si="2"/>
        <v>2</v>
      </c>
      <c r="Y38">
        <f t="shared" si="3"/>
        <v>0</v>
      </c>
      <c r="Z38">
        <v>37</v>
      </c>
    </row>
    <row r="39" spans="1:26" x14ac:dyDescent="0.2">
      <c r="A39" s="8">
        <v>11</v>
      </c>
      <c r="B39" s="9">
        <v>856</v>
      </c>
      <c r="C39" s="9">
        <v>2</v>
      </c>
      <c r="D39" s="9">
        <v>2</v>
      </c>
      <c r="E39" s="9">
        <v>1</v>
      </c>
      <c r="F39" s="9">
        <v>1</v>
      </c>
      <c r="G39" t="s">
        <v>45</v>
      </c>
      <c r="H39" s="9">
        <v>7</v>
      </c>
      <c r="I39" s="9">
        <v>45</v>
      </c>
      <c r="J39" s="9">
        <v>51</v>
      </c>
      <c r="K39" s="10">
        <v>15.5555555555555</v>
      </c>
      <c r="L39" s="10">
        <v>13.725490196078399</v>
      </c>
      <c r="M39" s="10">
        <v>1.1706715958102198</v>
      </c>
      <c r="N39" s="1">
        <v>8.0415108770923795E-6</v>
      </c>
      <c r="O39" s="10">
        <v>5.0946623462840801</v>
      </c>
      <c r="P39" s="14">
        <v>11.724458204334301</v>
      </c>
      <c r="Q39" s="11">
        <v>49.832977174034802</v>
      </c>
      <c r="R39" s="10">
        <v>4.7300000000000004</v>
      </c>
      <c r="S39" s="10">
        <v>21.97</v>
      </c>
      <c r="T39" s="10">
        <v>1.43</v>
      </c>
      <c r="V39" s="9">
        <f t="shared" si="0"/>
        <v>18</v>
      </c>
      <c r="W39" s="9">
        <f t="shared" si="1"/>
        <v>37</v>
      </c>
      <c r="X39">
        <f t="shared" si="2"/>
        <v>2</v>
      </c>
      <c r="Y39">
        <f t="shared" si="3"/>
        <v>0</v>
      </c>
      <c r="Z39">
        <v>38</v>
      </c>
    </row>
    <row r="40" spans="1:26" x14ac:dyDescent="0.2">
      <c r="A40" s="8">
        <v>11</v>
      </c>
      <c r="B40" s="9">
        <v>856</v>
      </c>
      <c r="C40" s="9">
        <v>2</v>
      </c>
      <c r="D40" s="9">
        <v>2</v>
      </c>
      <c r="E40" s="9">
        <v>1</v>
      </c>
      <c r="F40" s="9">
        <v>2</v>
      </c>
      <c r="G40" t="s">
        <v>46</v>
      </c>
      <c r="H40" s="9">
        <v>7</v>
      </c>
      <c r="I40" s="9">
        <v>51</v>
      </c>
      <c r="J40" s="9">
        <v>45</v>
      </c>
      <c r="K40" s="10">
        <v>13.725490196078399</v>
      </c>
      <c r="L40" s="10">
        <v>15.5555555555555</v>
      </c>
      <c r="M40" s="10">
        <v>1.3530135301353001</v>
      </c>
      <c r="N40" s="1">
        <v>8.0415108770923693E-6</v>
      </c>
      <c r="O40" s="10">
        <v>5.0946623462840801</v>
      </c>
      <c r="P40" s="14">
        <v>11.4969696969696</v>
      </c>
      <c r="Q40" s="11">
        <v>49.832977174034802</v>
      </c>
      <c r="R40" s="10">
        <v>1.94</v>
      </c>
      <c r="S40" s="10">
        <v>21.97</v>
      </c>
      <c r="T40" s="10">
        <v>1.43</v>
      </c>
      <c r="V40" s="9">
        <f t="shared" si="0"/>
        <v>18</v>
      </c>
      <c r="W40" s="9">
        <f t="shared" si="1"/>
        <v>38</v>
      </c>
      <c r="X40">
        <f t="shared" si="2"/>
        <v>2</v>
      </c>
      <c r="Y40">
        <f t="shared" si="3"/>
        <v>0</v>
      </c>
      <c r="Z40">
        <v>39</v>
      </c>
    </row>
    <row r="41" spans="1:26" x14ac:dyDescent="0.2">
      <c r="A41" s="8">
        <v>11</v>
      </c>
      <c r="B41" s="9">
        <v>874</v>
      </c>
      <c r="C41" s="9">
        <v>2</v>
      </c>
      <c r="D41" s="9">
        <v>2</v>
      </c>
      <c r="E41" s="9">
        <v>1</v>
      </c>
      <c r="F41" s="9">
        <v>1</v>
      </c>
      <c r="G41" t="s">
        <v>47</v>
      </c>
      <c r="H41" s="9">
        <v>4</v>
      </c>
      <c r="I41" s="9">
        <v>9</v>
      </c>
      <c r="J41" s="9">
        <v>48</v>
      </c>
      <c r="K41" s="10">
        <v>44.4444444444444</v>
      </c>
      <c r="L41" s="10">
        <v>8.3333333333333304</v>
      </c>
      <c r="M41" s="10">
        <v>0.15389350569405899</v>
      </c>
      <c r="N41" s="1">
        <v>9.4557854241406293E-6</v>
      </c>
      <c r="O41" s="10">
        <v>5.0243023915991296</v>
      </c>
      <c r="P41" s="14">
        <v>54.15</v>
      </c>
      <c r="Q41" s="11">
        <v>88.142694762048706</v>
      </c>
      <c r="R41" s="10">
        <v>14.57</v>
      </c>
      <c r="S41" s="10">
        <v>22.75</v>
      </c>
      <c r="T41" s="10">
        <v>1.48</v>
      </c>
      <c r="V41" s="9">
        <f t="shared" si="0"/>
        <v>19</v>
      </c>
      <c r="W41" s="9">
        <f t="shared" si="1"/>
        <v>39</v>
      </c>
      <c r="X41">
        <f t="shared" si="2"/>
        <v>2</v>
      </c>
      <c r="Y41">
        <f t="shared" si="3"/>
        <v>0</v>
      </c>
      <c r="Z41">
        <v>40</v>
      </c>
    </row>
    <row r="42" spans="1:26" x14ac:dyDescent="0.2">
      <c r="A42" s="8">
        <v>11</v>
      </c>
      <c r="B42" s="9">
        <v>874</v>
      </c>
      <c r="C42" s="9">
        <v>2</v>
      </c>
      <c r="D42" s="9">
        <v>2</v>
      </c>
      <c r="E42" s="9">
        <v>1</v>
      </c>
      <c r="F42" s="9">
        <v>2</v>
      </c>
      <c r="G42" t="s">
        <v>48</v>
      </c>
      <c r="H42" s="9">
        <v>4</v>
      </c>
      <c r="I42" s="9">
        <v>48</v>
      </c>
      <c r="J42" s="9">
        <v>9</v>
      </c>
      <c r="K42" s="10">
        <v>8.3333333333333304</v>
      </c>
      <c r="L42" s="10">
        <v>44.4444444444444</v>
      </c>
      <c r="M42" s="10">
        <v>1.3381995133819899</v>
      </c>
      <c r="N42" s="1">
        <v>9.4557854241406395E-6</v>
      </c>
      <c r="O42" s="10">
        <v>5.0243023915991296</v>
      </c>
      <c r="P42" s="14">
        <v>33.212121212121197</v>
      </c>
      <c r="Q42" s="11">
        <v>88.142694762048706</v>
      </c>
      <c r="R42" s="10">
        <v>46.73</v>
      </c>
      <c r="S42" s="10">
        <v>22.75</v>
      </c>
      <c r="T42" s="10">
        <v>1.48</v>
      </c>
      <c r="V42" s="9">
        <f t="shared" si="0"/>
        <v>19</v>
      </c>
      <c r="W42" s="9">
        <f t="shared" si="1"/>
        <v>40</v>
      </c>
      <c r="X42">
        <f t="shared" si="2"/>
        <v>2</v>
      </c>
      <c r="Y42">
        <f t="shared" si="3"/>
        <v>0</v>
      </c>
      <c r="Z42">
        <v>41</v>
      </c>
    </row>
    <row r="43" spans="1:26" x14ac:dyDescent="0.2">
      <c r="A43" s="8">
        <v>12</v>
      </c>
      <c r="B43" s="9">
        <v>825</v>
      </c>
      <c r="C43" s="9">
        <v>2</v>
      </c>
      <c r="D43" s="9">
        <v>2</v>
      </c>
      <c r="E43" s="9">
        <v>1</v>
      </c>
      <c r="F43" s="9">
        <v>1</v>
      </c>
      <c r="G43" t="s">
        <v>49</v>
      </c>
      <c r="H43" s="9">
        <v>4</v>
      </c>
      <c r="I43" s="9">
        <v>23</v>
      </c>
      <c r="J43" s="9">
        <v>17</v>
      </c>
      <c r="K43" s="10">
        <v>17.391304347826001</v>
      </c>
      <c r="L43" s="10">
        <v>23.529411764705799</v>
      </c>
      <c r="M43" s="10">
        <v>0.57926829268292601</v>
      </c>
      <c r="N43" s="1">
        <v>8.0759156262707699E-6</v>
      </c>
      <c r="O43" s="10">
        <v>5.0928082270286001</v>
      </c>
      <c r="P43" s="14">
        <v>40.6191950464396</v>
      </c>
      <c r="Q43" s="11">
        <v>97.5938716677245</v>
      </c>
      <c r="R43" s="10">
        <v>11.23</v>
      </c>
      <c r="S43" s="10">
        <v>23.86</v>
      </c>
      <c r="T43" s="10">
        <v>1.55</v>
      </c>
      <c r="V43" s="9">
        <f t="shared" si="0"/>
        <v>20</v>
      </c>
      <c r="W43" s="9">
        <f t="shared" si="1"/>
        <v>41</v>
      </c>
      <c r="X43">
        <f t="shared" si="2"/>
        <v>2</v>
      </c>
      <c r="Y43">
        <f t="shared" si="3"/>
        <v>0</v>
      </c>
      <c r="Z43">
        <v>42</v>
      </c>
    </row>
    <row r="44" spans="1:26" x14ac:dyDescent="0.2">
      <c r="A44" s="8">
        <v>12</v>
      </c>
      <c r="B44" s="9">
        <v>825</v>
      </c>
      <c r="C44" s="9">
        <v>2</v>
      </c>
      <c r="D44" s="9">
        <v>2</v>
      </c>
      <c r="E44" s="9">
        <v>1</v>
      </c>
      <c r="F44" s="9">
        <v>2</v>
      </c>
      <c r="G44" t="s">
        <v>50</v>
      </c>
      <c r="H44" s="9">
        <v>4</v>
      </c>
      <c r="I44" s="9">
        <v>17</v>
      </c>
      <c r="J44" s="9">
        <v>23</v>
      </c>
      <c r="K44" s="10">
        <v>23.529411764705799</v>
      </c>
      <c r="L44" s="10">
        <v>17.391304347826001</v>
      </c>
      <c r="M44" s="10">
        <v>0.39706780696395799</v>
      </c>
      <c r="N44" s="1">
        <v>8.0759156262707598E-6</v>
      </c>
      <c r="O44" s="10">
        <v>5.0928082270286001</v>
      </c>
      <c r="P44" s="14">
        <v>43.799331103678902</v>
      </c>
      <c r="Q44" s="11">
        <v>97.5938716677245</v>
      </c>
      <c r="R44" s="10">
        <v>1.29</v>
      </c>
      <c r="S44" s="10">
        <v>23.86</v>
      </c>
      <c r="T44" s="10">
        <v>1.55</v>
      </c>
      <c r="V44" s="9">
        <f t="shared" si="0"/>
        <v>20</v>
      </c>
      <c r="W44" s="9">
        <f t="shared" si="1"/>
        <v>42</v>
      </c>
      <c r="X44">
        <f t="shared" si="2"/>
        <v>2</v>
      </c>
      <c r="Y44">
        <f t="shared" si="3"/>
        <v>0</v>
      </c>
      <c r="Z44">
        <v>43</v>
      </c>
    </row>
    <row r="45" spans="1:26" x14ac:dyDescent="0.2">
      <c r="A45" s="8">
        <v>12</v>
      </c>
      <c r="B45" s="9">
        <v>871</v>
      </c>
      <c r="C45" s="9">
        <v>2</v>
      </c>
      <c r="D45" s="9">
        <v>2</v>
      </c>
      <c r="E45" s="9">
        <v>1</v>
      </c>
      <c r="F45" s="9">
        <v>1</v>
      </c>
      <c r="G45" t="s">
        <v>51</v>
      </c>
      <c r="H45" s="9">
        <v>9</v>
      </c>
      <c r="I45" s="9">
        <v>110</v>
      </c>
      <c r="J45" s="9">
        <v>35</v>
      </c>
      <c r="K45" s="10">
        <v>8.1818181818181799</v>
      </c>
      <c r="L45" s="10">
        <v>25.714285714285701</v>
      </c>
      <c r="M45" s="10">
        <v>3.0962599632127499</v>
      </c>
      <c r="N45" s="1">
        <v>2.5216196030083498E-6</v>
      </c>
      <c r="O45" s="10">
        <v>5.59832042798286</v>
      </c>
      <c r="P45" s="14">
        <v>8.3049504950494999</v>
      </c>
      <c r="Q45" s="11">
        <v>48.140123286955898</v>
      </c>
      <c r="R45" s="10">
        <v>3.31</v>
      </c>
      <c r="S45" s="10">
        <v>22.39</v>
      </c>
      <c r="T45" s="10">
        <v>1.46</v>
      </c>
      <c r="V45" s="9">
        <f t="shared" si="0"/>
        <v>21</v>
      </c>
      <c r="W45" s="9">
        <f t="shared" si="1"/>
        <v>43</v>
      </c>
      <c r="X45">
        <f t="shared" si="2"/>
        <v>2</v>
      </c>
      <c r="Y45">
        <f t="shared" si="3"/>
        <v>0</v>
      </c>
      <c r="Z45">
        <v>44</v>
      </c>
    </row>
    <row r="46" spans="1:26" x14ac:dyDescent="0.2">
      <c r="A46" s="8">
        <v>12</v>
      </c>
      <c r="B46" s="9">
        <v>871</v>
      </c>
      <c r="C46" s="9">
        <v>2</v>
      </c>
      <c r="D46" s="9">
        <v>2</v>
      </c>
      <c r="E46" s="9">
        <v>1</v>
      </c>
      <c r="F46" s="9">
        <v>2</v>
      </c>
      <c r="G46" t="s">
        <v>52</v>
      </c>
      <c r="H46" s="9">
        <v>9</v>
      </c>
      <c r="I46" s="9">
        <v>35</v>
      </c>
      <c r="J46" s="9">
        <v>110</v>
      </c>
      <c r="K46" s="10">
        <v>25.714285714285701</v>
      </c>
      <c r="L46" s="10">
        <v>8.1818181818181799</v>
      </c>
      <c r="M46" s="10">
        <v>0.81581424537182301</v>
      </c>
      <c r="N46" s="1">
        <v>2.5216196030083401E-6</v>
      </c>
      <c r="O46" s="10">
        <v>5.59832042798286</v>
      </c>
      <c r="P46" s="14">
        <v>10.029020979020901</v>
      </c>
      <c r="Q46" s="11">
        <v>48.140123286955898</v>
      </c>
      <c r="R46" s="10">
        <v>31.1</v>
      </c>
      <c r="S46" s="10">
        <v>22.39</v>
      </c>
      <c r="T46" s="10">
        <v>1.46</v>
      </c>
      <c r="V46" s="9">
        <f t="shared" si="0"/>
        <v>21</v>
      </c>
      <c r="W46" s="9">
        <f t="shared" si="1"/>
        <v>44</v>
      </c>
      <c r="X46">
        <f t="shared" si="2"/>
        <v>2</v>
      </c>
      <c r="Y46">
        <f t="shared" si="3"/>
        <v>0</v>
      </c>
      <c r="Z46">
        <v>45</v>
      </c>
    </row>
    <row r="47" spans="1:26" x14ac:dyDescent="0.2">
      <c r="A47" s="8">
        <v>13</v>
      </c>
      <c r="B47" s="9">
        <v>25</v>
      </c>
      <c r="C47" s="9">
        <v>2</v>
      </c>
      <c r="D47" s="9">
        <v>2</v>
      </c>
      <c r="E47" s="9">
        <v>1</v>
      </c>
      <c r="F47" s="9">
        <v>1</v>
      </c>
      <c r="G47" t="s">
        <v>53</v>
      </c>
      <c r="H47" s="9">
        <v>5</v>
      </c>
      <c r="I47" s="9">
        <v>26</v>
      </c>
      <c r="J47" s="9">
        <v>32</v>
      </c>
      <c r="K47" s="10">
        <v>19.230769230769202</v>
      </c>
      <c r="L47" s="10">
        <v>15.625</v>
      </c>
      <c r="M47" s="10">
        <v>0.64318529862174501</v>
      </c>
      <c r="N47" s="1">
        <v>7.0867894347402196E-6</v>
      </c>
      <c r="O47" s="10">
        <v>5.1495504709620503</v>
      </c>
      <c r="P47" s="14">
        <v>24.293154761904699</v>
      </c>
      <c r="Q47" s="11">
        <v>72.772468522963095</v>
      </c>
      <c r="R47" s="10">
        <v>4.53</v>
      </c>
      <c r="S47" s="10">
        <v>24.55</v>
      </c>
      <c r="T47" s="10">
        <v>1.6</v>
      </c>
      <c r="V47" s="9">
        <f t="shared" si="0"/>
        <v>22</v>
      </c>
      <c r="W47" s="9">
        <f t="shared" si="1"/>
        <v>45</v>
      </c>
      <c r="X47">
        <f t="shared" si="2"/>
        <v>2</v>
      </c>
      <c r="Y47">
        <f t="shared" si="3"/>
        <v>0</v>
      </c>
      <c r="Z47">
        <v>46</v>
      </c>
    </row>
    <row r="48" spans="1:26" x14ac:dyDescent="0.2">
      <c r="A48" s="8">
        <v>13</v>
      </c>
      <c r="B48" s="9">
        <v>25</v>
      </c>
      <c r="C48" s="9">
        <v>2</v>
      </c>
      <c r="D48" s="9">
        <v>2</v>
      </c>
      <c r="E48" s="9">
        <v>1</v>
      </c>
      <c r="F48" s="9">
        <v>2</v>
      </c>
      <c r="G48" t="s">
        <v>54</v>
      </c>
      <c r="H48" s="9">
        <v>5</v>
      </c>
      <c r="I48" s="9">
        <v>33</v>
      </c>
      <c r="J48" s="9">
        <v>26</v>
      </c>
      <c r="K48" s="10">
        <v>15.151515151515099</v>
      </c>
      <c r="L48" s="10">
        <v>19.230769230769202</v>
      </c>
      <c r="M48" s="10">
        <v>0.85600733720574695</v>
      </c>
      <c r="N48" s="1">
        <v>8.3077623792678703E-6</v>
      </c>
      <c r="O48" s="10">
        <v>5.0805159337605001</v>
      </c>
      <c r="P48" s="14">
        <v>22.4656593406593</v>
      </c>
      <c r="Q48" s="11">
        <v>70.327002418471295</v>
      </c>
      <c r="R48" s="10">
        <v>1.93</v>
      </c>
      <c r="S48" s="10">
        <v>24.55</v>
      </c>
      <c r="T48" s="10">
        <v>1.6</v>
      </c>
      <c r="V48" s="9">
        <f t="shared" si="0"/>
        <v>22</v>
      </c>
      <c r="W48" s="9">
        <f t="shared" si="1"/>
        <v>46</v>
      </c>
      <c r="X48">
        <f t="shared" si="2"/>
        <v>2</v>
      </c>
      <c r="Y48">
        <f t="shared" si="3"/>
        <v>0</v>
      </c>
      <c r="Z48">
        <v>47</v>
      </c>
    </row>
    <row r="49" spans="1:26" x14ac:dyDescent="0.2">
      <c r="A49" s="8">
        <v>13</v>
      </c>
      <c r="B49" s="9">
        <v>468</v>
      </c>
      <c r="C49" s="9">
        <v>2</v>
      </c>
      <c r="D49" s="9">
        <v>2</v>
      </c>
      <c r="E49" s="9">
        <v>1</v>
      </c>
      <c r="F49" s="9">
        <v>1</v>
      </c>
      <c r="G49" t="s">
        <v>55</v>
      </c>
      <c r="H49" s="9">
        <v>5</v>
      </c>
      <c r="I49" s="9">
        <v>32</v>
      </c>
      <c r="J49" s="9">
        <v>27</v>
      </c>
      <c r="K49" s="10">
        <v>15.625</v>
      </c>
      <c r="L49" s="10">
        <v>18.518518518518501</v>
      </c>
      <c r="M49" s="10">
        <v>0.8256880733944949</v>
      </c>
      <c r="N49" s="1">
        <v>8.6379045592325292E-6</v>
      </c>
      <c r="O49" s="10">
        <v>5.0635915988098903</v>
      </c>
      <c r="P49" s="14">
        <v>22.427983539094601</v>
      </c>
      <c r="Q49" s="11">
        <v>69.778640363547893</v>
      </c>
      <c r="R49" s="10">
        <v>1.4</v>
      </c>
      <c r="S49" s="10">
        <v>22.26</v>
      </c>
      <c r="T49" s="10">
        <v>1.45</v>
      </c>
      <c r="V49" s="9">
        <f t="shared" si="0"/>
        <v>23</v>
      </c>
      <c r="W49" s="9">
        <f t="shared" si="1"/>
        <v>47</v>
      </c>
      <c r="X49">
        <f t="shared" si="2"/>
        <v>2</v>
      </c>
      <c r="Y49">
        <f t="shared" si="3"/>
        <v>0</v>
      </c>
      <c r="Z49">
        <v>48</v>
      </c>
    </row>
    <row r="50" spans="1:26" x14ac:dyDescent="0.2">
      <c r="A50" s="8">
        <v>13</v>
      </c>
      <c r="B50" s="9">
        <v>468</v>
      </c>
      <c r="C50" s="9">
        <v>2</v>
      </c>
      <c r="D50" s="9">
        <v>2</v>
      </c>
      <c r="E50" s="9">
        <v>1</v>
      </c>
      <c r="F50" s="9">
        <v>2</v>
      </c>
      <c r="G50" t="s">
        <v>56</v>
      </c>
      <c r="H50" s="9">
        <v>5</v>
      </c>
      <c r="I50" s="9">
        <v>27</v>
      </c>
      <c r="J50" s="9">
        <v>32</v>
      </c>
      <c r="K50" s="10">
        <v>18.518518518518501</v>
      </c>
      <c r="L50" s="10">
        <v>15.625</v>
      </c>
      <c r="M50" s="10">
        <v>0.67381316998468599</v>
      </c>
      <c r="N50" s="1">
        <v>8.6379045592325394E-6</v>
      </c>
      <c r="O50" s="10">
        <v>5.0635915988098903</v>
      </c>
      <c r="P50" s="14">
        <v>23.1889204545454</v>
      </c>
      <c r="Q50" s="11">
        <v>69.778640363547893</v>
      </c>
      <c r="R50" s="10" t="s">
        <v>57</v>
      </c>
      <c r="S50" s="10">
        <v>22.26</v>
      </c>
      <c r="T50" s="10">
        <v>1.45</v>
      </c>
      <c r="V50" s="9">
        <f t="shared" si="0"/>
        <v>23</v>
      </c>
      <c r="W50" s="9">
        <f t="shared" si="1"/>
        <v>48</v>
      </c>
      <c r="X50">
        <f t="shared" si="2"/>
        <v>2</v>
      </c>
      <c r="Y50">
        <f t="shared" si="3"/>
        <v>0</v>
      </c>
      <c r="Z50">
        <v>49</v>
      </c>
    </row>
    <row r="51" spans="1:26" x14ac:dyDescent="0.2">
      <c r="A51" s="8">
        <v>13</v>
      </c>
      <c r="B51" s="9">
        <v>564</v>
      </c>
      <c r="C51" s="9">
        <v>2</v>
      </c>
      <c r="D51" s="9">
        <v>2</v>
      </c>
      <c r="E51" s="9">
        <v>1</v>
      </c>
      <c r="F51" s="9">
        <v>1</v>
      </c>
      <c r="G51" t="s">
        <v>58</v>
      </c>
      <c r="H51" s="9">
        <v>4</v>
      </c>
      <c r="I51" s="9">
        <v>8</v>
      </c>
      <c r="J51" s="9">
        <v>27</v>
      </c>
      <c r="K51" s="10">
        <v>50</v>
      </c>
      <c r="L51" s="10">
        <v>14.814814814814801</v>
      </c>
      <c r="M51" s="10">
        <v>0.122324159021406</v>
      </c>
      <c r="N51" s="1">
        <v>4.8887414861204697E-7</v>
      </c>
      <c r="O51" s="10">
        <v>6.3108029273750903</v>
      </c>
      <c r="P51" s="14">
        <v>121.111111111111</v>
      </c>
      <c r="Q51" s="11">
        <v>181.976345309473</v>
      </c>
      <c r="R51" s="10">
        <v>1.01</v>
      </c>
      <c r="S51" s="10">
        <v>25.03</v>
      </c>
      <c r="T51" s="10">
        <v>1.63</v>
      </c>
      <c r="V51" s="9">
        <f t="shared" si="0"/>
        <v>24</v>
      </c>
      <c r="W51" s="9">
        <f t="shared" si="1"/>
        <v>49</v>
      </c>
      <c r="X51">
        <f t="shared" si="2"/>
        <v>2</v>
      </c>
      <c r="Y51">
        <f t="shared" si="3"/>
        <v>0</v>
      </c>
      <c r="Z51">
        <v>50</v>
      </c>
    </row>
    <row r="52" spans="1:26" x14ac:dyDescent="0.2">
      <c r="A52" s="8">
        <v>13</v>
      </c>
      <c r="B52" s="9">
        <v>564</v>
      </c>
      <c r="C52" s="9">
        <v>2</v>
      </c>
      <c r="D52" s="9">
        <v>2</v>
      </c>
      <c r="E52" s="9">
        <v>1</v>
      </c>
      <c r="F52" s="9">
        <v>2</v>
      </c>
      <c r="G52" t="s">
        <v>59</v>
      </c>
      <c r="H52" s="9">
        <v>4</v>
      </c>
      <c r="I52" s="9">
        <v>27</v>
      </c>
      <c r="J52" s="9">
        <v>8</v>
      </c>
      <c r="K52" s="10">
        <v>14.814814814814801</v>
      </c>
      <c r="L52" s="10">
        <v>50</v>
      </c>
      <c r="M52" s="10">
        <v>0.69930069930069905</v>
      </c>
      <c r="N52" s="1">
        <v>4.8887414861204496E-7</v>
      </c>
      <c r="O52" s="10">
        <v>6.3108029273750903</v>
      </c>
      <c r="P52" s="14">
        <v>71.5</v>
      </c>
      <c r="Q52" s="11">
        <v>181.976345309473</v>
      </c>
      <c r="R52" s="10">
        <v>0.36</v>
      </c>
      <c r="S52" s="10">
        <v>25.03</v>
      </c>
      <c r="T52" s="10">
        <v>1.63</v>
      </c>
      <c r="V52" s="9">
        <f t="shared" si="0"/>
        <v>24</v>
      </c>
      <c r="W52" s="9">
        <f t="shared" si="1"/>
        <v>50</v>
      </c>
      <c r="X52">
        <f t="shared" si="2"/>
        <v>2</v>
      </c>
      <c r="Y52">
        <f t="shared" si="3"/>
        <v>0</v>
      </c>
      <c r="Z52">
        <v>51</v>
      </c>
    </row>
    <row r="53" spans="1:26" x14ac:dyDescent="0.2">
      <c r="A53" s="8">
        <v>14</v>
      </c>
      <c r="B53" s="9">
        <v>197</v>
      </c>
      <c r="C53" s="9">
        <v>3</v>
      </c>
      <c r="D53" s="9">
        <v>3</v>
      </c>
      <c r="E53" s="9">
        <v>1</v>
      </c>
      <c r="F53" s="9">
        <v>1</v>
      </c>
      <c r="G53" t="s">
        <v>60</v>
      </c>
      <c r="H53" s="9">
        <v>3</v>
      </c>
      <c r="I53" s="9">
        <v>19</v>
      </c>
      <c r="J53" s="9">
        <v>5</v>
      </c>
      <c r="K53" s="10">
        <v>15.789473684210501</v>
      </c>
      <c r="L53" s="10">
        <v>60</v>
      </c>
      <c r="M53" s="10">
        <v>0.48602673147023001</v>
      </c>
      <c r="N53" s="1">
        <v>3.2238395546673498E-6</v>
      </c>
      <c r="O53" s="10">
        <v>5.4916265804700801</v>
      </c>
      <c r="P53" s="14">
        <v>123.45</v>
      </c>
      <c r="Q53" s="11">
        <v>213.488902371666</v>
      </c>
      <c r="R53" s="10">
        <v>0.49</v>
      </c>
      <c r="S53" s="10">
        <v>30.25</v>
      </c>
      <c r="T53" s="10">
        <v>1.97</v>
      </c>
      <c r="V53" s="9">
        <f t="shared" si="0"/>
        <v>25</v>
      </c>
      <c r="W53" s="9">
        <f t="shared" si="1"/>
        <v>51</v>
      </c>
      <c r="X53">
        <f t="shared" si="2"/>
        <v>2</v>
      </c>
      <c r="Y53">
        <f t="shared" si="3"/>
        <v>0</v>
      </c>
      <c r="Z53">
        <v>52</v>
      </c>
    </row>
    <row r="54" spans="1:26" x14ac:dyDescent="0.2">
      <c r="A54" s="8">
        <v>14</v>
      </c>
      <c r="B54" s="9">
        <v>197</v>
      </c>
      <c r="C54" s="9">
        <v>3</v>
      </c>
      <c r="D54" s="9">
        <v>3</v>
      </c>
      <c r="E54" s="9">
        <v>1</v>
      </c>
      <c r="F54" s="9">
        <v>2</v>
      </c>
      <c r="G54" t="s">
        <v>61</v>
      </c>
      <c r="H54" s="9">
        <v>3</v>
      </c>
      <c r="I54" s="9">
        <v>4</v>
      </c>
      <c r="J54" s="9">
        <v>20</v>
      </c>
      <c r="K54" s="10">
        <v>75</v>
      </c>
      <c r="L54" s="10">
        <v>15</v>
      </c>
      <c r="M54" s="10">
        <v>3.0515715593530598E-2</v>
      </c>
      <c r="N54" s="1">
        <v>1.52229999351847E-6</v>
      </c>
      <c r="O54" s="10">
        <v>5.8174997544698996</v>
      </c>
      <c r="P54" s="14">
        <v>491.55</v>
      </c>
      <c r="Q54" s="11">
        <v>254.452766257321</v>
      </c>
      <c r="R54" s="10">
        <v>0.25</v>
      </c>
      <c r="S54" s="10">
        <v>30.25</v>
      </c>
      <c r="T54" s="10">
        <v>1.97</v>
      </c>
      <c r="V54" s="9">
        <f t="shared" si="0"/>
        <v>25</v>
      </c>
      <c r="W54" s="9">
        <f t="shared" si="1"/>
        <v>52</v>
      </c>
      <c r="X54">
        <f t="shared" si="2"/>
        <v>2</v>
      </c>
      <c r="Y54">
        <f t="shared" si="3"/>
        <v>0</v>
      </c>
      <c r="Z54">
        <v>53</v>
      </c>
    </row>
    <row r="55" spans="1:26" x14ac:dyDescent="0.2">
      <c r="A55" s="8">
        <v>14</v>
      </c>
      <c r="B55" s="9">
        <v>197</v>
      </c>
      <c r="C55" s="9">
        <v>3</v>
      </c>
      <c r="D55" s="9">
        <v>3</v>
      </c>
      <c r="E55" s="9">
        <v>1</v>
      </c>
      <c r="F55" s="9">
        <v>3</v>
      </c>
      <c r="G55" t="s">
        <v>62</v>
      </c>
      <c r="H55" s="9">
        <v>3</v>
      </c>
      <c r="I55" s="9">
        <v>3</v>
      </c>
      <c r="J55" s="9">
        <v>21</v>
      </c>
      <c r="K55" s="10">
        <v>100</v>
      </c>
      <c r="L55" s="10">
        <v>14.285714285714199</v>
      </c>
      <c r="M55" s="10">
        <v>0</v>
      </c>
      <c r="N55" s="1">
        <v>4.4572943810221002E-7</v>
      </c>
      <c r="O55" s="10">
        <v>6.3509286820835396</v>
      </c>
      <c r="P55" s="14" t="s">
        <v>63</v>
      </c>
      <c r="Q55" s="11">
        <v>324.462435099559</v>
      </c>
      <c r="R55" s="10">
        <v>0.68</v>
      </c>
      <c r="S55" s="10">
        <v>30.25</v>
      </c>
      <c r="T55" s="10">
        <v>1.97</v>
      </c>
      <c r="V55" s="9">
        <f t="shared" si="0"/>
        <v>25</v>
      </c>
      <c r="W55" s="9">
        <f t="shared" si="1"/>
        <v>53</v>
      </c>
      <c r="X55">
        <f t="shared" si="2"/>
        <v>2</v>
      </c>
      <c r="Y55">
        <f t="shared" si="3"/>
        <v>0</v>
      </c>
      <c r="Z55">
        <v>54</v>
      </c>
    </row>
    <row r="56" spans="1:26" x14ac:dyDescent="0.2">
      <c r="A56" s="8">
        <v>14</v>
      </c>
      <c r="B56" s="9">
        <v>837</v>
      </c>
      <c r="C56" s="9">
        <v>2</v>
      </c>
      <c r="D56" s="9">
        <v>2</v>
      </c>
      <c r="E56" s="9">
        <v>1</v>
      </c>
      <c r="F56" s="9">
        <v>1</v>
      </c>
      <c r="G56" t="s">
        <v>64</v>
      </c>
      <c r="H56" s="9">
        <v>4</v>
      </c>
      <c r="I56" s="9">
        <v>10</v>
      </c>
      <c r="J56" s="9">
        <v>41</v>
      </c>
      <c r="K56" s="10">
        <v>40</v>
      </c>
      <c r="L56" s="10">
        <v>9.7560975609756095</v>
      </c>
      <c r="M56" s="10">
        <v>0.184275184275184</v>
      </c>
      <c r="N56" s="1">
        <v>8.1985140074271706E-6</v>
      </c>
      <c r="O56" s="10">
        <v>5.0862648569890903</v>
      </c>
      <c r="P56" s="14">
        <v>52.943089430894297</v>
      </c>
      <c r="Q56" s="11">
        <v>93.068410717715807</v>
      </c>
      <c r="R56" s="10">
        <v>11.55</v>
      </c>
      <c r="S56" s="10">
        <v>21.49</v>
      </c>
      <c r="T56" s="10">
        <v>1.4</v>
      </c>
      <c r="V56" s="9">
        <f t="shared" si="0"/>
        <v>26</v>
      </c>
      <c r="W56" s="9">
        <f t="shared" si="1"/>
        <v>54</v>
      </c>
      <c r="X56">
        <f t="shared" si="2"/>
        <v>3</v>
      </c>
      <c r="Y56">
        <f t="shared" si="3"/>
        <v>0</v>
      </c>
      <c r="Z56">
        <v>55</v>
      </c>
    </row>
    <row r="57" spans="1:26" x14ac:dyDescent="0.2">
      <c r="A57" s="8">
        <v>14</v>
      </c>
      <c r="B57" s="9">
        <v>837</v>
      </c>
      <c r="C57" s="9">
        <v>2</v>
      </c>
      <c r="D57" s="9">
        <v>2</v>
      </c>
      <c r="E57" s="9">
        <v>1</v>
      </c>
      <c r="F57" s="9">
        <v>2</v>
      </c>
      <c r="G57" t="s">
        <v>65</v>
      </c>
      <c r="H57" s="9">
        <v>4</v>
      </c>
      <c r="I57" s="9">
        <v>41</v>
      </c>
      <c r="J57" s="9">
        <v>10</v>
      </c>
      <c r="K57" s="10">
        <v>9.7560975609756095</v>
      </c>
      <c r="L57" s="10">
        <v>40</v>
      </c>
      <c r="M57" s="10">
        <v>1.1256464861575899</v>
      </c>
      <c r="N57" s="1">
        <v>8.1985140074271604E-6</v>
      </c>
      <c r="O57" s="10">
        <v>5.0862648569890903</v>
      </c>
      <c r="P57" s="14">
        <v>35.5351351351351</v>
      </c>
      <c r="Q57" s="11">
        <v>93.068410717715807</v>
      </c>
      <c r="R57" s="10">
        <v>0.99</v>
      </c>
      <c r="S57" s="10">
        <v>21.49</v>
      </c>
      <c r="T57" s="10">
        <v>1.4</v>
      </c>
      <c r="V57" s="9">
        <f t="shared" si="0"/>
        <v>26</v>
      </c>
      <c r="W57" s="9">
        <f t="shared" si="1"/>
        <v>55</v>
      </c>
      <c r="X57">
        <f t="shared" si="2"/>
        <v>3</v>
      </c>
      <c r="Y57">
        <f t="shared" si="3"/>
        <v>0</v>
      </c>
      <c r="Z57">
        <v>56</v>
      </c>
    </row>
    <row r="58" spans="1:26" x14ac:dyDescent="0.2">
      <c r="A58" s="8">
        <v>14</v>
      </c>
      <c r="B58" s="9">
        <v>1620</v>
      </c>
      <c r="C58" s="9">
        <v>2</v>
      </c>
      <c r="D58" s="9">
        <v>2</v>
      </c>
      <c r="E58" s="9">
        <v>1</v>
      </c>
      <c r="F58" s="9">
        <v>1</v>
      </c>
      <c r="G58" t="s">
        <v>66</v>
      </c>
      <c r="H58" s="9">
        <v>13</v>
      </c>
      <c r="I58" s="9">
        <v>49</v>
      </c>
      <c r="J58" s="9">
        <v>139</v>
      </c>
      <c r="K58" s="10">
        <v>26.530612244897899</v>
      </c>
      <c r="L58" s="10">
        <v>9.3525179856115095</v>
      </c>
      <c r="M58" s="10">
        <v>1.1399620012666201</v>
      </c>
      <c r="N58" s="1">
        <v>1.0836249041939801E-7</v>
      </c>
      <c r="O58" s="10">
        <v>6.9651210224375601</v>
      </c>
      <c r="P58" s="14">
        <v>8.2042366107114297</v>
      </c>
      <c r="Q58" s="11">
        <v>55.8514791700903</v>
      </c>
      <c r="R58" s="10">
        <v>8.56</v>
      </c>
      <c r="S58" s="10">
        <v>21.89</v>
      </c>
      <c r="T58" s="10">
        <v>1.43</v>
      </c>
      <c r="V58" s="9">
        <f t="shared" si="0"/>
        <v>27</v>
      </c>
      <c r="W58" s="9">
        <f t="shared" si="1"/>
        <v>56</v>
      </c>
      <c r="X58">
        <f t="shared" si="2"/>
        <v>3</v>
      </c>
      <c r="Y58">
        <f t="shared" si="3"/>
        <v>0</v>
      </c>
      <c r="Z58">
        <v>57</v>
      </c>
    </row>
    <row r="59" spans="1:26" x14ac:dyDescent="0.2">
      <c r="A59" s="8">
        <v>14</v>
      </c>
      <c r="B59" s="9">
        <v>1620</v>
      </c>
      <c r="C59" s="9">
        <v>2</v>
      </c>
      <c r="D59" s="9">
        <v>2</v>
      </c>
      <c r="E59" s="9">
        <v>1</v>
      </c>
      <c r="F59" s="9">
        <v>2</v>
      </c>
      <c r="G59" t="s">
        <v>12</v>
      </c>
      <c r="H59" s="9">
        <v>13</v>
      </c>
      <c r="I59" s="9">
        <v>140</v>
      </c>
      <c r="J59" s="9">
        <v>51</v>
      </c>
      <c r="K59" s="10">
        <v>9.2857142857142811</v>
      </c>
      <c r="L59" s="10">
        <v>25.4901960784313</v>
      </c>
      <c r="M59" s="10">
        <v>3.9125077017868097</v>
      </c>
      <c r="N59" s="1">
        <v>1.9921985170307599E-7</v>
      </c>
      <c r="O59" s="10">
        <v>6.7006673875210803</v>
      </c>
      <c r="P59" s="14">
        <v>6.5150532654006401</v>
      </c>
      <c r="Q59" s="11">
        <v>52.312519641213797</v>
      </c>
      <c r="R59" s="10">
        <v>5.58</v>
      </c>
      <c r="S59" s="10">
        <v>21.89</v>
      </c>
      <c r="T59" s="10">
        <v>1.43</v>
      </c>
      <c r="V59" s="9">
        <f t="shared" si="0"/>
        <v>27</v>
      </c>
      <c r="W59" s="9">
        <f t="shared" si="1"/>
        <v>57</v>
      </c>
      <c r="X59">
        <f t="shared" si="2"/>
        <v>3</v>
      </c>
      <c r="Y59">
        <f t="shared" si="3"/>
        <v>0</v>
      </c>
      <c r="Z59">
        <v>58</v>
      </c>
    </row>
    <row r="60" spans="1:26" x14ac:dyDescent="0.2">
      <c r="A60" s="8">
        <v>14</v>
      </c>
      <c r="B60" s="9">
        <v>2190</v>
      </c>
      <c r="C60" s="9">
        <v>2</v>
      </c>
      <c r="D60" s="9">
        <v>2</v>
      </c>
      <c r="E60" s="9">
        <v>1</v>
      </c>
      <c r="F60" s="9">
        <v>1</v>
      </c>
      <c r="G60" t="s">
        <v>67</v>
      </c>
      <c r="H60" s="9">
        <v>4</v>
      </c>
      <c r="I60" s="9">
        <v>132</v>
      </c>
      <c r="J60" s="9">
        <v>4</v>
      </c>
      <c r="K60" s="10">
        <v>3.0303030303030298</v>
      </c>
      <c r="L60" s="10">
        <v>100</v>
      </c>
      <c r="M60" s="10">
        <v>3.88703310051624</v>
      </c>
      <c r="N60" s="1">
        <v>4.9172594224722097E-6</v>
      </c>
      <c r="O60" s="10">
        <v>5.3082768788003101</v>
      </c>
      <c r="P60" s="14">
        <v>25.726562499999901</v>
      </c>
      <c r="Q60" s="11">
        <v>72.646140413801206</v>
      </c>
      <c r="R60" s="10">
        <v>3.57</v>
      </c>
      <c r="S60" s="10">
        <v>20.86</v>
      </c>
      <c r="T60" s="10">
        <v>1.36</v>
      </c>
      <c r="V60" s="9">
        <f t="shared" si="0"/>
        <v>28</v>
      </c>
      <c r="W60" s="9">
        <f t="shared" si="1"/>
        <v>58</v>
      </c>
      <c r="X60">
        <f t="shared" si="2"/>
        <v>3</v>
      </c>
      <c r="Y60">
        <f t="shared" si="3"/>
        <v>0</v>
      </c>
      <c r="Z60">
        <v>59</v>
      </c>
    </row>
    <row r="61" spans="1:26" x14ac:dyDescent="0.2">
      <c r="A61" s="8">
        <v>14</v>
      </c>
      <c r="B61" s="9">
        <v>2190</v>
      </c>
      <c r="C61" s="9">
        <v>2</v>
      </c>
      <c r="D61" s="9">
        <v>2</v>
      </c>
      <c r="E61" s="9">
        <v>1</v>
      </c>
      <c r="F61" s="9">
        <v>2</v>
      </c>
      <c r="G61" t="s">
        <v>68</v>
      </c>
      <c r="H61" s="9">
        <v>4</v>
      </c>
      <c r="I61" s="9">
        <v>4</v>
      </c>
      <c r="J61" s="9">
        <v>131</v>
      </c>
      <c r="K61" s="10">
        <v>100</v>
      </c>
      <c r="L61" s="10">
        <v>3.0534351145038099</v>
      </c>
      <c r="M61" s="10">
        <v>0</v>
      </c>
      <c r="N61" s="1">
        <v>4.7682515611851704E-6</v>
      </c>
      <c r="O61" s="10">
        <v>5.32164084035829</v>
      </c>
      <c r="P61" s="14" t="s">
        <v>69</v>
      </c>
      <c r="Q61" s="11">
        <v>73.2307443549239</v>
      </c>
      <c r="R61" s="10">
        <v>6.93</v>
      </c>
      <c r="S61" s="10">
        <v>20.86</v>
      </c>
      <c r="T61" s="10">
        <v>1.36</v>
      </c>
      <c r="V61" s="9">
        <f t="shared" si="0"/>
        <v>28</v>
      </c>
      <c r="W61" s="9">
        <f t="shared" si="1"/>
        <v>59</v>
      </c>
      <c r="X61">
        <f t="shared" si="2"/>
        <v>3</v>
      </c>
      <c r="Y61">
        <f t="shared" si="3"/>
        <v>0</v>
      </c>
      <c r="Z61">
        <v>60</v>
      </c>
    </row>
    <row r="62" spans="1:26" x14ac:dyDescent="0.2">
      <c r="A62" s="8">
        <v>15</v>
      </c>
      <c r="B62" s="9">
        <v>28</v>
      </c>
      <c r="C62" s="9">
        <v>2</v>
      </c>
      <c r="D62" s="9">
        <v>2</v>
      </c>
      <c r="E62" s="9">
        <v>1</v>
      </c>
      <c r="F62" s="9">
        <v>1</v>
      </c>
      <c r="G62" t="s">
        <v>70</v>
      </c>
      <c r="H62" s="9">
        <v>18</v>
      </c>
      <c r="I62" s="9">
        <v>155</v>
      </c>
      <c r="J62" s="9">
        <v>113</v>
      </c>
      <c r="K62" s="10">
        <v>11.612903225806399</v>
      </c>
      <c r="L62" s="10">
        <v>15.929203539823</v>
      </c>
      <c r="M62" s="10">
        <v>4.3027638190954702</v>
      </c>
      <c r="N62" s="1">
        <v>6.6752172665317798E-6</v>
      </c>
      <c r="O62" s="10">
        <v>5.1755345942150299</v>
      </c>
      <c r="P62" s="14">
        <v>3.7020864285252801</v>
      </c>
      <c r="Q62" s="11">
        <v>32.925020904308099</v>
      </c>
      <c r="R62" s="10">
        <v>6.59</v>
      </c>
      <c r="S62" s="10">
        <v>23.07</v>
      </c>
      <c r="T62" s="10">
        <v>1.5</v>
      </c>
      <c r="V62" s="9">
        <f t="shared" si="0"/>
        <v>29</v>
      </c>
      <c r="W62" s="9">
        <f t="shared" si="1"/>
        <v>60</v>
      </c>
      <c r="X62">
        <f t="shared" si="2"/>
        <v>3</v>
      </c>
      <c r="Y62">
        <f t="shared" si="3"/>
        <v>0</v>
      </c>
      <c r="Z62">
        <v>61</v>
      </c>
    </row>
    <row r="63" spans="1:26" x14ac:dyDescent="0.2">
      <c r="A63" s="8">
        <v>15</v>
      </c>
      <c r="B63" s="9">
        <v>28</v>
      </c>
      <c r="C63" s="9">
        <v>2</v>
      </c>
      <c r="D63" s="9">
        <v>2</v>
      </c>
      <c r="E63" s="9">
        <v>1</v>
      </c>
      <c r="F63" s="9">
        <v>2</v>
      </c>
      <c r="G63" t="s">
        <v>29</v>
      </c>
      <c r="H63" s="9">
        <v>18</v>
      </c>
      <c r="I63" s="9">
        <v>113</v>
      </c>
      <c r="J63" s="9">
        <v>153</v>
      </c>
      <c r="K63" s="10">
        <v>15.929203539823</v>
      </c>
      <c r="L63" s="10">
        <v>11.764705882352899</v>
      </c>
      <c r="M63" s="10">
        <v>3.02162849872773</v>
      </c>
      <c r="N63" s="1">
        <v>5.5168840233394203E-6</v>
      </c>
      <c r="O63" s="10">
        <v>5.2583061457419298</v>
      </c>
      <c r="P63" s="14">
        <v>3.8934984520123801</v>
      </c>
      <c r="Q63" s="11">
        <v>33.695356634103703</v>
      </c>
      <c r="R63" s="10">
        <v>3.03</v>
      </c>
      <c r="S63" s="10">
        <v>23.07</v>
      </c>
      <c r="T63" s="10">
        <v>1.5</v>
      </c>
      <c r="V63" s="9">
        <f t="shared" si="0"/>
        <v>29</v>
      </c>
      <c r="W63" s="9">
        <f t="shared" si="1"/>
        <v>61</v>
      </c>
      <c r="X63">
        <f t="shared" si="2"/>
        <v>3</v>
      </c>
      <c r="Y63">
        <f t="shared" si="3"/>
        <v>0</v>
      </c>
      <c r="Z63">
        <v>62</v>
      </c>
    </row>
    <row r="64" spans="1:26" x14ac:dyDescent="0.2">
      <c r="A64" s="8">
        <v>15</v>
      </c>
      <c r="B64" s="9">
        <v>689</v>
      </c>
      <c r="C64" s="9">
        <v>2</v>
      </c>
      <c r="D64" s="9">
        <v>2</v>
      </c>
      <c r="E64" s="9">
        <v>1</v>
      </c>
      <c r="F64" s="9">
        <v>1</v>
      </c>
      <c r="G64" t="s">
        <v>71</v>
      </c>
      <c r="H64" s="9">
        <v>5</v>
      </c>
      <c r="I64" s="9">
        <v>76</v>
      </c>
      <c r="J64" s="9">
        <v>12</v>
      </c>
      <c r="K64" s="10">
        <v>6.5789473684210495</v>
      </c>
      <c r="L64" s="10">
        <v>41.6666666666666</v>
      </c>
      <c r="M64" s="10">
        <v>2.1613394216133899</v>
      </c>
      <c r="N64" s="1">
        <v>7.9643309673628693E-6</v>
      </c>
      <c r="O64" s="10">
        <v>5.0988507006395096</v>
      </c>
      <c r="P64" s="14">
        <v>19.278169014084501</v>
      </c>
      <c r="Q64" s="11">
        <v>66.245629161138794</v>
      </c>
      <c r="R64" s="10">
        <v>32.159999999999997</v>
      </c>
      <c r="S64" s="10">
        <v>23.48</v>
      </c>
      <c r="T64" s="10">
        <v>1.53</v>
      </c>
      <c r="V64" s="9">
        <f t="shared" si="0"/>
        <v>30</v>
      </c>
      <c r="W64" s="9">
        <f t="shared" si="1"/>
        <v>62</v>
      </c>
      <c r="X64">
        <f t="shared" si="2"/>
        <v>3</v>
      </c>
      <c r="Y64">
        <f t="shared" si="3"/>
        <v>0</v>
      </c>
      <c r="Z64">
        <v>63</v>
      </c>
    </row>
    <row r="65" spans="1:26" x14ac:dyDescent="0.2">
      <c r="A65" s="8">
        <v>15</v>
      </c>
      <c r="B65" s="9">
        <v>689</v>
      </c>
      <c r="C65" s="9">
        <v>2</v>
      </c>
      <c r="D65" s="9">
        <v>2</v>
      </c>
      <c r="E65" s="9">
        <v>1</v>
      </c>
      <c r="F65" s="9">
        <v>2</v>
      </c>
      <c r="G65" t="s">
        <v>72</v>
      </c>
      <c r="H65" s="9">
        <v>5</v>
      </c>
      <c r="I65" s="9">
        <v>12</v>
      </c>
      <c r="J65" s="9">
        <v>77</v>
      </c>
      <c r="K65" s="10">
        <v>41.6666666666666</v>
      </c>
      <c r="L65" s="10">
        <v>6.4935064935064899</v>
      </c>
      <c r="M65" s="10">
        <v>0.217391304347826</v>
      </c>
      <c r="N65" s="1">
        <v>8.5020903653796105E-6</v>
      </c>
      <c r="O65" s="10">
        <v>5.0704742833988696</v>
      </c>
      <c r="P65" s="14">
        <v>29.870129870129801</v>
      </c>
      <c r="Q65" s="11">
        <v>65.292919046781094</v>
      </c>
      <c r="R65" s="10">
        <v>23.23</v>
      </c>
      <c r="S65" s="10">
        <v>23.48</v>
      </c>
      <c r="T65" s="10">
        <v>1.53</v>
      </c>
      <c r="V65" s="9">
        <f t="shared" si="0"/>
        <v>30</v>
      </c>
      <c r="W65" s="9">
        <f t="shared" si="1"/>
        <v>63</v>
      </c>
      <c r="X65">
        <f t="shared" si="2"/>
        <v>3</v>
      </c>
      <c r="Y65">
        <f t="shared" si="3"/>
        <v>0</v>
      </c>
      <c r="Z65">
        <v>64</v>
      </c>
    </row>
    <row r="66" spans="1:26" x14ac:dyDescent="0.2">
      <c r="A66" s="8">
        <v>15</v>
      </c>
      <c r="B66" s="9">
        <v>1309</v>
      </c>
      <c r="C66" s="9">
        <v>2</v>
      </c>
      <c r="D66" s="9">
        <v>2</v>
      </c>
      <c r="E66" s="9">
        <v>1</v>
      </c>
      <c r="F66" s="9">
        <v>1</v>
      </c>
      <c r="G66" t="s">
        <v>73</v>
      </c>
      <c r="H66" s="9">
        <v>6</v>
      </c>
      <c r="I66" s="9">
        <v>11</v>
      </c>
      <c r="J66" s="9">
        <v>108</v>
      </c>
      <c r="K66" s="10">
        <v>54.545454545454497</v>
      </c>
      <c r="L66" s="10">
        <v>5.55555555555555</v>
      </c>
      <c r="M66" s="10">
        <v>0.15678896205707102</v>
      </c>
      <c r="N66" s="1">
        <v>8.7031724148843596E-7</v>
      </c>
      <c r="O66" s="10">
        <v>6.0603224127673201</v>
      </c>
      <c r="P66" s="14">
        <v>35.433333333333302</v>
      </c>
      <c r="Q66" s="11">
        <v>76.048246345757903</v>
      </c>
      <c r="R66" s="10">
        <v>152.47999999999999</v>
      </c>
      <c r="S66" s="10">
        <v>22.63</v>
      </c>
      <c r="T66" s="10">
        <v>1.47</v>
      </c>
      <c r="V66" s="9">
        <f t="shared" si="0"/>
        <v>31</v>
      </c>
      <c r="W66" s="9">
        <f t="shared" si="1"/>
        <v>64</v>
      </c>
      <c r="X66">
        <f t="shared" si="2"/>
        <v>3</v>
      </c>
      <c r="Y66">
        <f t="shared" si="3"/>
        <v>0</v>
      </c>
      <c r="Z66">
        <v>65</v>
      </c>
    </row>
    <row r="67" spans="1:26" x14ac:dyDescent="0.2">
      <c r="A67" s="8">
        <v>15</v>
      </c>
      <c r="B67" s="9">
        <v>1309</v>
      </c>
      <c r="C67" s="9">
        <v>2</v>
      </c>
      <c r="D67" s="9">
        <v>2</v>
      </c>
      <c r="E67" s="9">
        <v>1</v>
      </c>
      <c r="F67" s="9">
        <v>2</v>
      </c>
      <c r="G67" t="s">
        <v>74</v>
      </c>
      <c r="H67" s="9">
        <v>6</v>
      </c>
      <c r="I67" s="9">
        <v>110</v>
      </c>
      <c r="J67" s="9">
        <v>10</v>
      </c>
      <c r="K67" s="10">
        <v>5.4545454545454497</v>
      </c>
      <c r="L67" s="10">
        <v>60</v>
      </c>
      <c r="M67" s="10">
        <v>3.1639793124429501</v>
      </c>
      <c r="N67" s="1">
        <v>4.5389330444966302E-7</v>
      </c>
      <c r="O67" s="10">
        <v>6.3430462236506502</v>
      </c>
      <c r="P67" s="14">
        <v>18.963461538461502</v>
      </c>
      <c r="Q67" s="11">
        <v>83.014180336119793</v>
      </c>
      <c r="R67" s="10">
        <v>0.28999999999999998</v>
      </c>
      <c r="S67" s="10">
        <v>22.63</v>
      </c>
      <c r="T67" s="10">
        <v>1.47</v>
      </c>
      <c r="V67" s="9">
        <f t="shared" ref="V67:V130" si="4">IF(B67&lt;&gt;B66,V66+1,V66)</f>
        <v>31</v>
      </c>
      <c r="W67" s="9">
        <f t="shared" ref="W67:W130" si="5">IF(F67&lt;&gt;F66,W66+1,W66)</f>
        <v>65</v>
      </c>
      <c r="X67">
        <f t="shared" si="2"/>
        <v>3</v>
      </c>
      <c r="Y67">
        <f t="shared" si="3"/>
        <v>0</v>
      </c>
      <c r="Z67">
        <v>66</v>
      </c>
    </row>
    <row r="68" spans="1:26" x14ac:dyDescent="0.2">
      <c r="A68" s="8">
        <v>15</v>
      </c>
      <c r="B68" s="9">
        <v>2513</v>
      </c>
      <c r="C68" s="9">
        <v>2</v>
      </c>
      <c r="D68" s="9">
        <v>2</v>
      </c>
      <c r="E68" s="9">
        <v>1</v>
      </c>
      <c r="F68" s="9">
        <v>1</v>
      </c>
      <c r="G68" t="s">
        <v>75</v>
      </c>
      <c r="H68" s="9">
        <v>4</v>
      </c>
      <c r="I68" s="9">
        <v>35</v>
      </c>
      <c r="J68" s="9">
        <v>9</v>
      </c>
      <c r="K68" s="10">
        <v>11.4285714285714</v>
      </c>
      <c r="L68" s="10">
        <v>44.4444444444444</v>
      </c>
      <c r="M68" s="10">
        <v>0.94282238442822308</v>
      </c>
      <c r="N68" s="1">
        <v>2.5853113373610499E-6</v>
      </c>
      <c r="O68" s="10">
        <v>5.5874871492988198</v>
      </c>
      <c r="P68" s="14">
        <v>47.139784946236503</v>
      </c>
      <c r="Q68" s="11">
        <v>122.94946302982299</v>
      </c>
      <c r="R68" s="10">
        <v>52.97</v>
      </c>
      <c r="S68" s="10">
        <v>23.72</v>
      </c>
      <c r="T68" s="10">
        <v>1.55</v>
      </c>
      <c r="V68" s="9">
        <f t="shared" si="4"/>
        <v>32</v>
      </c>
      <c r="W68" s="9">
        <f t="shared" si="5"/>
        <v>66</v>
      </c>
      <c r="X68">
        <f t="shared" ref="X68:X131" si="6">IF(AND(B68&lt;&gt;B67,D67&gt;2),X67+1,X67)</f>
        <v>3</v>
      </c>
      <c r="Y68">
        <f t="shared" ref="Y68:Y131" si="7">IF(AND(B68&lt;&gt;B67,D67&gt;3),Y67+1,Y67)</f>
        <v>0</v>
      </c>
      <c r="Z68">
        <v>67</v>
      </c>
    </row>
    <row r="69" spans="1:26" x14ac:dyDescent="0.2">
      <c r="A69" s="8">
        <v>15</v>
      </c>
      <c r="B69" s="9">
        <v>2513</v>
      </c>
      <c r="C69" s="9">
        <v>2</v>
      </c>
      <c r="D69" s="9">
        <v>2</v>
      </c>
      <c r="E69" s="9">
        <v>1</v>
      </c>
      <c r="F69" s="9">
        <v>2</v>
      </c>
      <c r="G69" t="s">
        <v>76</v>
      </c>
      <c r="H69" s="9">
        <v>4</v>
      </c>
      <c r="I69" s="9">
        <v>9</v>
      </c>
      <c r="J69" s="9">
        <v>35</v>
      </c>
      <c r="K69" s="10">
        <v>44.4444444444444</v>
      </c>
      <c r="L69" s="10">
        <v>11.4285714285714</v>
      </c>
      <c r="M69" s="10">
        <v>0.15328019619865102</v>
      </c>
      <c r="N69" s="1">
        <v>2.5853113373610499E-6</v>
      </c>
      <c r="O69" s="10">
        <v>5.5874871492988198</v>
      </c>
      <c r="P69" s="14">
        <v>74.56</v>
      </c>
      <c r="Q69" s="11">
        <v>122.94946302982299</v>
      </c>
      <c r="R69" s="10">
        <v>0.73</v>
      </c>
      <c r="S69" s="10">
        <v>23.72</v>
      </c>
      <c r="T69" s="10">
        <v>1.55</v>
      </c>
      <c r="V69" s="9">
        <f t="shared" si="4"/>
        <v>32</v>
      </c>
      <c r="W69" s="9">
        <f t="shared" si="5"/>
        <v>67</v>
      </c>
      <c r="X69">
        <f t="shared" si="6"/>
        <v>3</v>
      </c>
      <c r="Y69">
        <f t="shared" si="7"/>
        <v>0</v>
      </c>
      <c r="Z69">
        <v>68</v>
      </c>
    </row>
    <row r="70" spans="1:26" x14ac:dyDescent="0.2">
      <c r="A70" s="8">
        <v>16</v>
      </c>
      <c r="B70" s="9">
        <v>1157</v>
      </c>
      <c r="C70" s="9">
        <v>2</v>
      </c>
      <c r="D70" s="9">
        <v>2</v>
      </c>
      <c r="E70" s="9">
        <v>1</v>
      </c>
      <c r="F70" s="9">
        <v>1</v>
      </c>
      <c r="G70" t="s">
        <v>77</v>
      </c>
      <c r="H70" s="9">
        <v>8</v>
      </c>
      <c r="I70" s="9">
        <v>13</v>
      </c>
      <c r="J70" s="9">
        <v>229</v>
      </c>
      <c r="K70" s="10">
        <v>61.538461538461497</v>
      </c>
      <c r="L70" s="10">
        <v>3.4934497816593799</v>
      </c>
      <c r="M70" s="10">
        <v>0.16297262059973899</v>
      </c>
      <c r="N70" s="1">
        <v>9.1359950911071901E-7</v>
      </c>
      <c r="O70" s="10">
        <v>6.0392441424504097</v>
      </c>
      <c r="P70" s="14">
        <v>21.435807860261999</v>
      </c>
      <c r="Q70" s="11">
        <v>52.002006195150301</v>
      </c>
      <c r="R70" s="10">
        <v>19.09</v>
      </c>
      <c r="S70" s="10">
        <v>21.76</v>
      </c>
      <c r="T70" s="10">
        <v>1.42</v>
      </c>
      <c r="V70" s="9">
        <f t="shared" si="4"/>
        <v>33</v>
      </c>
      <c r="W70" s="9">
        <f t="shared" si="5"/>
        <v>68</v>
      </c>
      <c r="X70">
        <f t="shared" si="6"/>
        <v>3</v>
      </c>
      <c r="Y70">
        <f t="shared" si="7"/>
        <v>0</v>
      </c>
      <c r="Z70">
        <v>69</v>
      </c>
    </row>
    <row r="71" spans="1:26" x14ac:dyDescent="0.2">
      <c r="A71" s="8">
        <v>16</v>
      </c>
      <c r="B71" s="9">
        <v>1157</v>
      </c>
      <c r="C71" s="9">
        <v>2</v>
      </c>
      <c r="D71" s="9">
        <v>2</v>
      </c>
      <c r="E71" s="9">
        <v>1</v>
      </c>
      <c r="F71" s="9">
        <v>2</v>
      </c>
      <c r="G71" t="s">
        <v>21</v>
      </c>
      <c r="H71" s="9">
        <v>8</v>
      </c>
      <c r="I71" s="9">
        <v>231</v>
      </c>
      <c r="J71" s="9">
        <v>13</v>
      </c>
      <c r="K71" s="10">
        <v>3.4632034632034596</v>
      </c>
      <c r="L71" s="10">
        <v>61.538461538461497</v>
      </c>
      <c r="M71" s="10">
        <v>6.7904993909866</v>
      </c>
      <c r="N71" s="1">
        <v>9.7767111523739402E-7</v>
      </c>
      <c r="O71" s="10">
        <v>6.0098072156204703</v>
      </c>
      <c r="P71" s="14">
        <v>9.0624353225250101</v>
      </c>
      <c r="Q71" s="11">
        <v>51.462146340948998</v>
      </c>
      <c r="R71" s="10">
        <v>5.64</v>
      </c>
      <c r="S71" s="10">
        <v>21.76</v>
      </c>
      <c r="T71" s="10">
        <v>1.42</v>
      </c>
      <c r="V71" s="9">
        <f t="shared" si="4"/>
        <v>33</v>
      </c>
      <c r="W71" s="9">
        <f t="shared" si="5"/>
        <v>69</v>
      </c>
      <c r="X71">
        <f t="shared" si="6"/>
        <v>3</v>
      </c>
      <c r="Y71">
        <f t="shared" si="7"/>
        <v>0</v>
      </c>
      <c r="Z71">
        <v>70</v>
      </c>
    </row>
    <row r="72" spans="1:26" x14ac:dyDescent="0.2">
      <c r="A72" s="8">
        <v>17</v>
      </c>
      <c r="B72" s="9">
        <v>140</v>
      </c>
      <c r="C72" s="9">
        <v>2</v>
      </c>
      <c r="D72" s="9">
        <v>2</v>
      </c>
      <c r="E72" s="9">
        <v>1</v>
      </c>
      <c r="F72" s="9">
        <v>1</v>
      </c>
      <c r="G72" t="s">
        <v>78</v>
      </c>
      <c r="H72" s="9">
        <v>4</v>
      </c>
      <c r="I72" s="9">
        <v>14</v>
      </c>
      <c r="J72" s="9">
        <v>27</v>
      </c>
      <c r="K72" s="10">
        <v>28.571428571428498</v>
      </c>
      <c r="L72" s="10">
        <v>14.814814814814801</v>
      </c>
      <c r="M72" s="10">
        <v>0.30581039755351602</v>
      </c>
      <c r="N72" s="1">
        <v>6.7597498465136802E-6</v>
      </c>
      <c r="O72" s="10">
        <v>5.1700693754028704</v>
      </c>
      <c r="P72" s="14">
        <v>48.4444444444444</v>
      </c>
      <c r="Q72" s="11">
        <v>101.21704151262</v>
      </c>
      <c r="R72" s="10">
        <v>2.76</v>
      </c>
      <c r="S72" s="10">
        <v>22.24</v>
      </c>
      <c r="T72" s="10">
        <v>1.45</v>
      </c>
      <c r="V72" s="9">
        <f t="shared" si="4"/>
        <v>34</v>
      </c>
      <c r="W72" s="9">
        <f t="shared" si="5"/>
        <v>70</v>
      </c>
      <c r="X72">
        <f t="shared" si="6"/>
        <v>3</v>
      </c>
      <c r="Y72">
        <f t="shared" si="7"/>
        <v>0</v>
      </c>
      <c r="Z72">
        <v>71</v>
      </c>
    </row>
    <row r="73" spans="1:26" x14ac:dyDescent="0.2">
      <c r="A73" s="8">
        <v>17</v>
      </c>
      <c r="B73" s="9">
        <v>140</v>
      </c>
      <c r="C73" s="9">
        <v>2</v>
      </c>
      <c r="D73" s="9">
        <v>2</v>
      </c>
      <c r="E73" s="9">
        <v>1</v>
      </c>
      <c r="F73" s="9">
        <v>2</v>
      </c>
      <c r="G73" t="s">
        <v>79</v>
      </c>
      <c r="H73" s="9">
        <v>4</v>
      </c>
      <c r="I73" s="9">
        <v>27</v>
      </c>
      <c r="J73" s="9">
        <v>14</v>
      </c>
      <c r="K73" s="10">
        <v>14.814814814814801</v>
      </c>
      <c r="L73" s="10">
        <v>28.571428571428498</v>
      </c>
      <c r="M73" s="10">
        <v>0.70057873895826905</v>
      </c>
      <c r="N73" s="1">
        <v>6.75974984651367E-6</v>
      </c>
      <c r="O73" s="10">
        <v>5.1700693754028704</v>
      </c>
      <c r="P73" s="14">
        <v>40.782608695652101</v>
      </c>
      <c r="Q73" s="11">
        <v>101.21704151262</v>
      </c>
      <c r="R73" s="10">
        <v>10.47</v>
      </c>
      <c r="S73" s="10">
        <v>22.24</v>
      </c>
      <c r="T73" s="10">
        <v>1.45</v>
      </c>
      <c r="V73" s="9">
        <f t="shared" si="4"/>
        <v>34</v>
      </c>
      <c r="W73" s="9">
        <f t="shared" si="5"/>
        <v>71</v>
      </c>
      <c r="X73">
        <f t="shared" si="6"/>
        <v>3</v>
      </c>
      <c r="Y73">
        <f t="shared" si="7"/>
        <v>0</v>
      </c>
      <c r="Z73">
        <v>72</v>
      </c>
    </row>
    <row r="74" spans="1:26" x14ac:dyDescent="0.2">
      <c r="A74" s="8">
        <v>17</v>
      </c>
      <c r="B74" s="9">
        <v>799</v>
      </c>
      <c r="C74" s="9">
        <v>2</v>
      </c>
      <c r="D74" s="9">
        <v>2</v>
      </c>
      <c r="E74" s="9">
        <v>1</v>
      </c>
      <c r="F74" s="9">
        <v>1</v>
      </c>
      <c r="G74" t="s">
        <v>80</v>
      </c>
      <c r="H74" s="9">
        <v>5</v>
      </c>
      <c r="I74" s="9">
        <v>7</v>
      </c>
      <c r="J74" s="9">
        <v>115</v>
      </c>
      <c r="K74" s="10">
        <v>71.428571428571402</v>
      </c>
      <c r="L74" s="10">
        <v>4.3478260869565206</v>
      </c>
      <c r="M74" s="10">
        <v>6.2853551225644191E-2</v>
      </c>
      <c r="N74" s="1">
        <v>1.88222816568328E-6</v>
      </c>
      <c r="O74" s="10">
        <v>5.7253277320825102</v>
      </c>
      <c r="P74" s="14">
        <v>69.173913043478194</v>
      </c>
      <c r="Q74" s="11">
        <v>77.0256185740093</v>
      </c>
      <c r="R74" s="10">
        <v>0.64</v>
      </c>
      <c r="S74" s="10">
        <v>20.97</v>
      </c>
      <c r="T74" s="10">
        <v>1.37</v>
      </c>
      <c r="V74" s="9">
        <f t="shared" si="4"/>
        <v>35</v>
      </c>
      <c r="W74" s="9">
        <f t="shared" si="5"/>
        <v>72</v>
      </c>
      <c r="X74">
        <f t="shared" si="6"/>
        <v>3</v>
      </c>
      <c r="Y74">
        <f t="shared" si="7"/>
        <v>0</v>
      </c>
      <c r="Z74">
        <v>73</v>
      </c>
    </row>
    <row r="75" spans="1:26" x14ac:dyDescent="0.2">
      <c r="A75" s="8">
        <v>17</v>
      </c>
      <c r="B75" s="9">
        <v>799</v>
      </c>
      <c r="C75" s="9">
        <v>2</v>
      </c>
      <c r="D75" s="9">
        <v>2</v>
      </c>
      <c r="E75" s="9">
        <v>1</v>
      </c>
      <c r="F75" s="9">
        <v>2</v>
      </c>
      <c r="G75" t="s">
        <v>81</v>
      </c>
      <c r="H75" s="9">
        <v>5</v>
      </c>
      <c r="I75" s="9">
        <v>114</v>
      </c>
      <c r="J75" s="9">
        <v>7</v>
      </c>
      <c r="K75" s="10">
        <v>4.3859649122807003</v>
      </c>
      <c r="L75" s="10">
        <v>71.428571428571402</v>
      </c>
      <c r="M75" s="10">
        <v>3.3130699088145898</v>
      </c>
      <c r="N75" s="1">
        <v>1.8013292255416799E-6</v>
      </c>
      <c r="O75" s="10">
        <v>5.7444069047434301</v>
      </c>
      <c r="P75" s="14">
        <v>21.559633027522899</v>
      </c>
      <c r="Q75" s="11">
        <v>77.754392381102093</v>
      </c>
      <c r="R75" s="10">
        <v>54.34</v>
      </c>
      <c r="S75" s="10">
        <v>20.97</v>
      </c>
      <c r="T75" s="10">
        <v>1.37</v>
      </c>
      <c r="V75" s="9">
        <f t="shared" si="4"/>
        <v>35</v>
      </c>
      <c r="W75" s="9">
        <f t="shared" si="5"/>
        <v>73</v>
      </c>
      <c r="X75">
        <f t="shared" si="6"/>
        <v>3</v>
      </c>
      <c r="Y75">
        <f t="shared" si="7"/>
        <v>0</v>
      </c>
      <c r="Z75">
        <v>74</v>
      </c>
    </row>
    <row r="76" spans="1:26" x14ac:dyDescent="0.2">
      <c r="A76" s="8">
        <v>18</v>
      </c>
      <c r="B76" s="9">
        <v>1005</v>
      </c>
      <c r="C76" s="9">
        <v>2</v>
      </c>
      <c r="D76" s="9">
        <v>2</v>
      </c>
      <c r="E76" s="9">
        <v>1</v>
      </c>
      <c r="F76" s="9">
        <v>1</v>
      </c>
      <c r="G76" t="s">
        <v>82</v>
      </c>
      <c r="H76" s="9">
        <v>4</v>
      </c>
      <c r="I76" s="9">
        <v>24</v>
      </c>
      <c r="J76" s="9">
        <v>14</v>
      </c>
      <c r="K76" s="10">
        <v>16.6666666666666</v>
      </c>
      <c r="L76" s="10">
        <v>28.571428571428498</v>
      </c>
      <c r="M76" s="10">
        <v>0.60919890344197303</v>
      </c>
      <c r="N76" s="1">
        <v>4.1228966163984498E-6</v>
      </c>
      <c r="O76" s="10">
        <v>5.3847975552036296</v>
      </c>
      <c r="P76" s="14">
        <v>46.9</v>
      </c>
      <c r="Q76" s="11">
        <v>114.622590316634</v>
      </c>
      <c r="R76" s="10" t="s">
        <v>57</v>
      </c>
      <c r="S76" s="10">
        <v>21.68</v>
      </c>
      <c r="T76" s="10">
        <v>1.41</v>
      </c>
      <c r="V76" s="9">
        <f t="shared" si="4"/>
        <v>36</v>
      </c>
      <c r="W76" s="9">
        <f t="shared" si="5"/>
        <v>74</v>
      </c>
      <c r="X76">
        <f t="shared" si="6"/>
        <v>3</v>
      </c>
      <c r="Y76">
        <f t="shared" si="7"/>
        <v>0</v>
      </c>
      <c r="Z76">
        <v>75</v>
      </c>
    </row>
    <row r="77" spans="1:26" x14ac:dyDescent="0.2">
      <c r="A77" s="8">
        <v>18</v>
      </c>
      <c r="B77" s="9">
        <v>1005</v>
      </c>
      <c r="C77" s="9">
        <v>2</v>
      </c>
      <c r="D77" s="9">
        <v>2</v>
      </c>
      <c r="E77" s="9">
        <v>1</v>
      </c>
      <c r="F77" s="9">
        <v>2</v>
      </c>
      <c r="G77" t="s">
        <v>83</v>
      </c>
      <c r="H77" s="9">
        <v>4</v>
      </c>
      <c r="I77" s="9">
        <v>14</v>
      </c>
      <c r="J77" s="9">
        <v>24</v>
      </c>
      <c r="K77" s="10">
        <v>28.571428571428498</v>
      </c>
      <c r="L77" s="10">
        <v>16.6666666666666</v>
      </c>
      <c r="M77" s="10">
        <v>0.30553009471432901</v>
      </c>
      <c r="N77" s="1">
        <v>4.1228966163984396E-6</v>
      </c>
      <c r="O77" s="10">
        <v>5.3847975552036296</v>
      </c>
      <c r="P77" s="14">
        <v>54.55</v>
      </c>
      <c r="Q77" s="11">
        <v>114.622590316634</v>
      </c>
      <c r="R77" s="10">
        <v>1.03</v>
      </c>
      <c r="S77" s="10">
        <v>21.68</v>
      </c>
      <c r="T77" s="10">
        <v>1.41</v>
      </c>
      <c r="V77" s="9">
        <f t="shared" si="4"/>
        <v>36</v>
      </c>
      <c r="W77" s="9">
        <f t="shared" si="5"/>
        <v>75</v>
      </c>
      <c r="X77">
        <f t="shared" si="6"/>
        <v>3</v>
      </c>
      <c r="Y77">
        <f t="shared" si="7"/>
        <v>0</v>
      </c>
      <c r="Z77">
        <v>76</v>
      </c>
    </row>
    <row r="78" spans="1:26" x14ac:dyDescent="0.2">
      <c r="A78" s="8">
        <v>18</v>
      </c>
      <c r="B78" s="9">
        <v>1464</v>
      </c>
      <c r="C78" s="9">
        <v>2</v>
      </c>
      <c r="D78" s="9">
        <v>2</v>
      </c>
      <c r="E78" s="9">
        <v>1</v>
      </c>
      <c r="F78" s="9">
        <v>1</v>
      </c>
      <c r="G78" t="s">
        <v>84</v>
      </c>
      <c r="H78" s="9">
        <v>4</v>
      </c>
      <c r="I78" s="9">
        <v>15</v>
      </c>
      <c r="J78" s="9">
        <v>27</v>
      </c>
      <c r="K78" s="10">
        <v>26.6666666666666</v>
      </c>
      <c r="L78" s="10">
        <v>14.814814814814801</v>
      </c>
      <c r="M78" s="10">
        <v>0.336391437308868</v>
      </c>
      <c r="N78" s="1">
        <v>9.1663264534073195E-6</v>
      </c>
      <c r="O78" s="10">
        <v>5.0378046796693701</v>
      </c>
      <c r="P78" s="14">
        <v>44.040404040403999</v>
      </c>
      <c r="Q78" s="11">
        <v>94.041388718062393</v>
      </c>
      <c r="R78" s="10">
        <v>6.59</v>
      </c>
      <c r="S78" s="10">
        <v>20.32</v>
      </c>
      <c r="T78" s="10">
        <v>1.32</v>
      </c>
      <c r="V78" s="9">
        <f t="shared" si="4"/>
        <v>37</v>
      </c>
      <c r="W78" s="9">
        <f t="shared" si="5"/>
        <v>76</v>
      </c>
      <c r="X78">
        <f t="shared" si="6"/>
        <v>3</v>
      </c>
      <c r="Y78">
        <f t="shared" si="7"/>
        <v>0</v>
      </c>
      <c r="Z78">
        <v>77</v>
      </c>
    </row>
    <row r="79" spans="1:26" x14ac:dyDescent="0.2">
      <c r="A79" s="8">
        <v>18</v>
      </c>
      <c r="B79" s="9">
        <v>1464</v>
      </c>
      <c r="C79" s="9">
        <v>2</v>
      </c>
      <c r="D79" s="9">
        <v>2</v>
      </c>
      <c r="E79" s="9">
        <v>1</v>
      </c>
      <c r="F79" s="9">
        <v>2</v>
      </c>
      <c r="G79" t="s">
        <v>85</v>
      </c>
      <c r="H79" s="9">
        <v>4</v>
      </c>
      <c r="I79" s="9">
        <v>28</v>
      </c>
      <c r="J79" s="9">
        <v>14</v>
      </c>
      <c r="K79" s="10">
        <v>14.285714285714199</v>
      </c>
      <c r="L79" s="10">
        <v>28.571428571428498</v>
      </c>
      <c r="M79" s="10">
        <v>0.73103868413036799</v>
      </c>
      <c r="N79" s="1">
        <v>7.8671491967271005E-6</v>
      </c>
      <c r="O79" s="10">
        <v>5.1041826135653396</v>
      </c>
      <c r="P79" s="14">
        <v>39.0833333333333</v>
      </c>
      <c r="Q79" s="11">
        <v>97.387235729809106</v>
      </c>
      <c r="R79" s="10">
        <v>1.04</v>
      </c>
      <c r="S79" s="10">
        <v>20.32</v>
      </c>
      <c r="T79" s="10">
        <v>1.32</v>
      </c>
      <c r="V79" s="9">
        <f t="shared" si="4"/>
        <v>37</v>
      </c>
      <c r="W79" s="9">
        <f t="shared" si="5"/>
        <v>77</v>
      </c>
      <c r="X79">
        <f t="shared" si="6"/>
        <v>3</v>
      </c>
      <c r="Y79">
        <f t="shared" si="7"/>
        <v>0</v>
      </c>
      <c r="Z79">
        <v>78</v>
      </c>
    </row>
    <row r="80" spans="1:26" x14ac:dyDescent="0.2">
      <c r="A80" s="8">
        <v>19</v>
      </c>
      <c r="B80" s="9">
        <v>248</v>
      </c>
      <c r="C80" s="9">
        <v>2</v>
      </c>
      <c r="D80" s="9">
        <v>2</v>
      </c>
      <c r="E80" s="9">
        <v>1</v>
      </c>
      <c r="F80" s="9">
        <v>1</v>
      </c>
      <c r="G80" t="s">
        <v>86</v>
      </c>
      <c r="H80" s="9">
        <v>4</v>
      </c>
      <c r="I80" s="9">
        <v>141</v>
      </c>
      <c r="J80" s="9">
        <v>4</v>
      </c>
      <c r="K80" s="10">
        <v>2.83687943262411</v>
      </c>
      <c r="L80" s="10">
        <v>100</v>
      </c>
      <c r="M80" s="10">
        <v>4.1603401153962905</v>
      </c>
      <c r="N80" s="1">
        <v>6.4207515712587298E-6</v>
      </c>
      <c r="O80" s="10">
        <v>5.1924141332790601</v>
      </c>
      <c r="P80" s="14">
        <v>24.036496350364899</v>
      </c>
      <c r="Q80" s="11">
        <v>67.757870124730204</v>
      </c>
      <c r="R80" s="10">
        <v>29.51</v>
      </c>
      <c r="S80" s="10">
        <v>22.99</v>
      </c>
      <c r="T80" s="10">
        <v>1.5</v>
      </c>
      <c r="V80" s="9">
        <f t="shared" si="4"/>
        <v>38</v>
      </c>
      <c r="W80" s="9">
        <f t="shared" si="5"/>
        <v>78</v>
      </c>
      <c r="X80">
        <f t="shared" si="6"/>
        <v>3</v>
      </c>
      <c r="Y80">
        <f t="shared" si="7"/>
        <v>0</v>
      </c>
      <c r="Z80">
        <v>79</v>
      </c>
    </row>
    <row r="81" spans="1:26" x14ac:dyDescent="0.2">
      <c r="A81" s="8">
        <v>19</v>
      </c>
      <c r="B81" s="9">
        <v>248</v>
      </c>
      <c r="C81" s="9">
        <v>2</v>
      </c>
      <c r="D81" s="9">
        <v>2</v>
      </c>
      <c r="E81" s="9">
        <v>1</v>
      </c>
      <c r="F81" s="9">
        <v>2</v>
      </c>
      <c r="G81" t="s">
        <v>87</v>
      </c>
      <c r="H81" s="9">
        <v>4</v>
      </c>
      <c r="I81" s="9">
        <v>4</v>
      </c>
      <c r="J81" s="9">
        <v>143</v>
      </c>
      <c r="K81" s="10">
        <v>100</v>
      </c>
      <c r="L81" s="10">
        <v>2.79720279720279</v>
      </c>
      <c r="M81" s="10">
        <v>0</v>
      </c>
      <c r="N81" s="1">
        <v>6.79698578907206E-6</v>
      </c>
      <c r="O81" s="10">
        <v>5.1676836380862703</v>
      </c>
      <c r="P81" s="14" t="s">
        <v>88</v>
      </c>
      <c r="Q81" s="11">
        <v>66.755151335843607</v>
      </c>
      <c r="R81" s="10">
        <v>1.94</v>
      </c>
      <c r="S81" s="10">
        <v>22.99</v>
      </c>
      <c r="T81" s="10">
        <v>1.5</v>
      </c>
      <c r="V81" s="9">
        <f t="shared" si="4"/>
        <v>38</v>
      </c>
      <c r="W81" s="9">
        <f t="shared" si="5"/>
        <v>79</v>
      </c>
      <c r="X81">
        <f t="shared" si="6"/>
        <v>3</v>
      </c>
      <c r="Y81">
        <f t="shared" si="7"/>
        <v>0</v>
      </c>
      <c r="Z81">
        <v>80</v>
      </c>
    </row>
    <row r="82" spans="1:26" x14ac:dyDescent="0.2">
      <c r="A82" s="8">
        <v>19</v>
      </c>
      <c r="B82" s="9">
        <v>953</v>
      </c>
      <c r="C82" s="9">
        <v>2</v>
      </c>
      <c r="D82" s="9">
        <v>2</v>
      </c>
      <c r="E82" s="9">
        <v>1</v>
      </c>
      <c r="F82" s="9">
        <v>1</v>
      </c>
      <c r="G82" t="s">
        <v>89</v>
      </c>
      <c r="H82" s="9">
        <v>5</v>
      </c>
      <c r="I82" s="9">
        <v>38</v>
      </c>
      <c r="J82" s="9">
        <v>23</v>
      </c>
      <c r="K82" s="10">
        <v>13.157894736842099</v>
      </c>
      <c r="L82" s="10">
        <v>21.739130434782599</v>
      </c>
      <c r="M82" s="10">
        <v>1.0079413561392701</v>
      </c>
      <c r="N82" s="1">
        <v>8.9737562196826095E-6</v>
      </c>
      <c r="O82" s="10">
        <v>5.0470257326505799</v>
      </c>
      <c r="P82" s="14">
        <v>21.567852437417599</v>
      </c>
      <c r="Q82" s="11">
        <v>68.924059903364096</v>
      </c>
      <c r="R82" s="10">
        <v>506.5</v>
      </c>
      <c r="S82" s="10">
        <v>26.23</v>
      </c>
      <c r="T82" s="10">
        <v>1.71</v>
      </c>
      <c r="V82" s="9">
        <f t="shared" si="4"/>
        <v>39</v>
      </c>
      <c r="W82" s="9">
        <f t="shared" si="5"/>
        <v>80</v>
      </c>
      <c r="X82">
        <f t="shared" si="6"/>
        <v>3</v>
      </c>
      <c r="Y82">
        <f t="shared" si="7"/>
        <v>0</v>
      </c>
      <c r="Z82">
        <v>81</v>
      </c>
    </row>
    <row r="83" spans="1:26" x14ac:dyDescent="0.2">
      <c r="A83" s="8">
        <v>19</v>
      </c>
      <c r="B83" s="9">
        <v>953</v>
      </c>
      <c r="C83" s="9">
        <v>2</v>
      </c>
      <c r="D83" s="9">
        <v>2</v>
      </c>
      <c r="E83" s="9">
        <v>1</v>
      </c>
      <c r="F83" s="9">
        <v>2</v>
      </c>
      <c r="G83" t="s">
        <v>90</v>
      </c>
      <c r="H83" s="9">
        <v>5</v>
      </c>
      <c r="I83" s="9">
        <v>23</v>
      </c>
      <c r="J83" s="9">
        <v>38</v>
      </c>
      <c r="K83" s="10">
        <v>21.739130434782599</v>
      </c>
      <c r="L83" s="10">
        <v>13.157894736842099</v>
      </c>
      <c r="M83" s="10">
        <v>0.55231666155262304</v>
      </c>
      <c r="N83" s="1">
        <v>8.9737562196825892E-6</v>
      </c>
      <c r="O83" s="10">
        <v>5.0470257326505799</v>
      </c>
      <c r="P83" s="14">
        <v>23.823099415204599</v>
      </c>
      <c r="Q83" s="11">
        <v>68.924059903364096</v>
      </c>
      <c r="R83" s="10">
        <v>0.6</v>
      </c>
      <c r="S83" s="10">
        <v>26.23</v>
      </c>
      <c r="T83" s="10">
        <v>1.71</v>
      </c>
      <c r="V83" s="9">
        <f t="shared" si="4"/>
        <v>39</v>
      </c>
      <c r="W83" s="9">
        <f t="shared" si="5"/>
        <v>81</v>
      </c>
      <c r="X83">
        <f t="shared" si="6"/>
        <v>3</v>
      </c>
      <c r="Y83">
        <f t="shared" si="7"/>
        <v>0</v>
      </c>
      <c r="Z83">
        <v>82</v>
      </c>
    </row>
    <row r="84" spans="1:26" x14ac:dyDescent="0.2">
      <c r="A84" s="8">
        <v>19</v>
      </c>
      <c r="B84" s="9">
        <v>1668</v>
      </c>
      <c r="C84" s="9">
        <v>2</v>
      </c>
      <c r="D84" s="9">
        <v>2</v>
      </c>
      <c r="E84" s="9">
        <v>1</v>
      </c>
      <c r="F84" s="9">
        <v>1</v>
      </c>
      <c r="G84" t="s">
        <v>91</v>
      </c>
      <c r="H84" s="9">
        <v>4</v>
      </c>
      <c r="I84" s="9">
        <v>5</v>
      </c>
      <c r="J84" s="9">
        <v>88</v>
      </c>
      <c r="K84" s="10">
        <v>80</v>
      </c>
      <c r="L84" s="10">
        <v>4.5454545454545396</v>
      </c>
      <c r="M84" s="10">
        <v>3.1162355874104E-2</v>
      </c>
      <c r="N84" s="1">
        <v>4.6481468959318904E-6</v>
      </c>
      <c r="O84" s="10">
        <v>5.3327201553413603</v>
      </c>
      <c r="P84" s="14">
        <v>145.863636363636</v>
      </c>
      <c r="Q84" s="11">
        <v>87.3863415899025</v>
      </c>
      <c r="R84" s="10">
        <v>10.02</v>
      </c>
      <c r="S84" s="10">
        <v>20.94</v>
      </c>
      <c r="T84" s="10">
        <v>1.36</v>
      </c>
      <c r="V84" s="9">
        <f t="shared" si="4"/>
        <v>40</v>
      </c>
      <c r="W84" s="9">
        <f t="shared" si="5"/>
        <v>82</v>
      </c>
      <c r="X84">
        <f t="shared" si="6"/>
        <v>3</v>
      </c>
      <c r="Y84">
        <f t="shared" si="7"/>
        <v>0</v>
      </c>
      <c r="Z84">
        <v>83</v>
      </c>
    </row>
    <row r="85" spans="1:26" x14ac:dyDescent="0.2">
      <c r="A85" s="8">
        <v>19</v>
      </c>
      <c r="B85" s="9">
        <v>1668</v>
      </c>
      <c r="C85" s="9">
        <v>2</v>
      </c>
      <c r="D85" s="9">
        <v>2</v>
      </c>
      <c r="E85" s="9">
        <v>1</v>
      </c>
      <c r="F85" s="9">
        <v>2</v>
      </c>
      <c r="G85" t="s">
        <v>92</v>
      </c>
      <c r="H85" s="9">
        <v>4</v>
      </c>
      <c r="I85" s="9">
        <v>90</v>
      </c>
      <c r="J85" s="9">
        <v>5</v>
      </c>
      <c r="K85" s="10">
        <v>4.4444444444444393</v>
      </c>
      <c r="L85" s="10">
        <v>80</v>
      </c>
      <c r="M85" s="10">
        <v>2.61239368165249</v>
      </c>
      <c r="N85" s="1">
        <v>5.0907236248685098E-6</v>
      </c>
      <c r="O85" s="10">
        <v>5.2932204801484097</v>
      </c>
      <c r="P85" s="14">
        <v>30.623255813953399</v>
      </c>
      <c r="Q85" s="11">
        <v>85.343721620971806</v>
      </c>
      <c r="R85" s="10">
        <v>999</v>
      </c>
      <c r="S85" s="10">
        <v>20.94</v>
      </c>
      <c r="T85" s="10">
        <v>1.36</v>
      </c>
      <c r="V85" s="9">
        <f t="shared" si="4"/>
        <v>40</v>
      </c>
      <c r="W85" s="9">
        <f t="shared" si="5"/>
        <v>83</v>
      </c>
      <c r="X85">
        <f t="shared" si="6"/>
        <v>3</v>
      </c>
      <c r="Y85">
        <f t="shared" si="7"/>
        <v>0</v>
      </c>
      <c r="Z85">
        <v>84</v>
      </c>
    </row>
    <row r="86" spans="1:26" x14ac:dyDescent="0.2">
      <c r="A86" s="8">
        <v>20</v>
      </c>
      <c r="B86" s="9">
        <v>1946</v>
      </c>
      <c r="C86" s="9">
        <v>2</v>
      </c>
      <c r="D86" s="9">
        <v>2</v>
      </c>
      <c r="E86" s="9">
        <v>1</v>
      </c>
      <c r="F86" s="9">
        <v>1</v>
      </c>
      <c r="G86" t="s">
        <v>71</v>
      </c>
      <c r="H86" s="9">
        <v>6</v>
      </c>
      <c r="I86" s="9">
        <v>76</v>
      </c>
      <c r="J86" s="9">
        <v>15</v>
      </c>
      <c r="K86" s="10">
        <v>7.8947368421052602</v>
      </c>
      <c r="L86" s="10">
        <v>40</v>
      </c>
      <c r="M86" s="10">
        <v>2.1328458257160201</v>
      </c>
      <c r="N86" s="1">
        <v>1.04432542171971E-6</v>
      </c>
      <c r="O86" s="10">
        <v>5.9811641499590698</v>
      </c>
      <c r="P86" s="14">
        <v>18.7542857142857</v>
      </c>
      <c r="Q86" s="11">
        <v>79.004252068087695</v>
      </c>
      <c r="R86" s="10">
        <v>32.159999999999997</v>
      </c>
      <c r="S86" s="10">
        <v>23.89</v>
      </c>
      <c r="T86" s="10">
        <v>1.56</v>
      </c>
      <c r="V86" s="9">
        <f t="shared" si="4"/>
        <v>41</v>
      </c>
      <c r="W86" s="9">
        <f t="shared" si="5"/>
        <v>84</v>
      </c>
      <c r="X86">
        <f t="shared" si="6"/>
        <v>3</v>
      </c>
      <c r="Y86">
        <f t="shared" si="7"/>
        <v>0</v>
      </c>
      <c r="Z86">
        <v>85</v>
      </c>
    </row>
    <row r="87" spans="1:26" x14ac:dyDescent="0.2">
      <c r="A87" s="8">
        <v>20</v>
      </c>
      <c r="B87" s="9">
        <v>1946</v>
      </c>
      <c r="C87" s="9">
        <v>2</v>
      </c>
      <c r="D87" s="9">
        <v>2</v>
      </c>
      <c r="E87" s="9">
        <v>1</v>
      </c>
      <c r="F87" s="9">
        <v>2</v>
      </c>
      <c r="G87" t="s">
        <v>93</v>
      </c>
      <c r="H87" s="9">
        <v>6</v>
      </c>
      <c r="I87" s="9">
        <v>15</v>
      </c>
      <c r="J87" s="9">
        <v>75</v>
      </c>
      <c r="K87" s="10">
        <v>40</v>
      </c>
      <c r="L87" s="10">
        <v>8</v>
      </c>
      <c r="M87" s="10">
        <v>0.27932960893854702</v>
      </c>
      <c r="N87" s="1">
        <v>9.6417285147257991E-7</v>
      </c>
      <c r="O87" s="10">
        <v>6.0158451012513101</v>
      </c>
      <c r="P87" s="14">
        <v>28.64</v>
      </c>
      <c r="Q87" s="11">
        <v>80.1741456298505</v>
      </c>
      <c r="R87" s="10">
        <v>2.71</v>
      </c>
      <c r="S87" s="10">
        <v>23.89</v>
      </c>
      <c r="T87" s="10">
        <v>1.56</v>
      </c>
      <c r="V87" s="9">
        <f t="shared" si="4"/>
        <v>41</v>
      </c>
      <c r="W87" s="9">
        <f t="shared" si="5"/>
        <v>85</v>
      </c>
      <c r="X87">
        <f t="shared" si="6"/>
        <v>3</v>
      </c>
      <c r="Y87">
        <f t="shared" si="7"/>
        <v>0</v>
      </c>
      <c r="Z87">
        <v>86</v>
      </c>
    </row>
    <row r="88" spans="1:26" x14ac:dyDescent="0.2">
      <c r="A88" s="8">
        <v>21</v>
      </c>
      <c r="B88" s="9">
        <v>1737</v>
      </c>
      <c r="C88" s="9">
        <v>2</v>
      </c>
      <c r="D88" s="9">
        <v>2</v>
      </c>
      <c r="E88" s="9">
        <v>1</v>
      </c>
      <c r="F88" s="9">
        <v>1</v>
      </c>
      <c r="G88" t="s">
        <v>94</v>
      </c>
      <c r="H88" s="9">
        <v>4</v>
      </c>
      <c r="I88" s="9">
        <v>20</v>
      </c>
      <c r="J88" s="9">
        <v>18</v>
      </c>
      <c r="K88" s="10">
        <v>20</v>
      </c>
      <c r="L88" s="10">
        <v>22.2222222222222</v>
      </c>
      <c r="M88" s="10">
        <v>0.48795364440378103</v>
      </c>
      <c r="N88" s="1">
        <v>5.7131785853233704E-6</v>
      </c>
      <c r="O88" s="10">
        <v>5.2431222003384796</v>
      </c>
      <c r="P88" s="14">
        <v>45.5416666666666</v>
      </c>
      <c r="Q88" s="11">
        <v>106.522990176829</v>
      </c>
      <c r="R88" s="10">
        <v>3.12</v>
      </c>
      <c r="S88" s="10">
        <v>21.09</v>
      </c>
      <c r="T88" s="10">
        <v>1.37</v>
      </c>
      <c r="V88" s="9">
        <f t="shared" si="4"/>
        <v>42</v>
      </c>
      <c r="W88" s="9">
        <f t="shared" si="5"/>
        <v>86</v>
      </c>
      <c r="X88">
        <f t="shared" si="6"/>
        <v>3</v>
      </c>
      <c r="Y88">
        <f t="shared" si="7"/>
        <v>0</v>
      </c>
      <c r="Z88">
        <v>87</v>
      </c>
    </row>
    <row r="89" spans="1:26" x14ac:dyDescent="0.2">
      <c r="A89" s="8">
        <v>21</v>
      </c>
      <c r="B89" s="9">
        <v>1737</v>
      </c>
      <c r="C89" s="9">
        <v>2</v>
      </c>
      <c r="D89" s="9">
        <v>2</v>
      </c>
      <c r="E89" s="9">
        <v>1</v>
      </c>
      <c r="F89" s="9">
        <v>2</v>
      </c>
      <c r="G89" t="s">
        <v>44</v>
      </c>
      <c r="H89" s="9">
        <v>4</v>
      </c>
      <c r="I89" s="9">
        <v>18</v>
      </c>
      <c r="J89" s="9">
        <v>20</v>
      </c>
      <c r="K89" s="10">
        <v>22.2222222222222</v>
      </c>
      <c r="L89" s="10">
        <v>20</v>
      </c>
      <c r="M89" s="10">
        <v>0.42722001830942902</v>
      </c>
      <c r="N89" s="1">
        <v>5.7131785853233501E-6</v>
      </c>
      <c r="O89" s="10">
        <v>5.2431222003384903</v>
      </c>
      <c r="P89" s="14">
        <v>46.814285714285703</v>
      </c>
      <c r="Q89" s="11">
        <v>106.522990176829</v>
      </c>
      <c r="R89" s="10">
        <v>0.39</v>
      </c>
      <c r="S89" s="10">
        <v>21.09</v>
      </c>
      <c r="T89" s="10">
        <v>1.37</v>
      </c>
      <c r="V89" s="9">
        <f t="shared" si="4"/>
        <v>42</v>
      </c>
      <c r="W89" s="9">
        <f t="shared" si="5"/>
        <v>87</v>
      </c>
      <c r="X89">
        <f t="shared" si="6"/>
        <v>3</v>
      </c>
      <c r="Y89">
        <f t="shared" si="7"/>
        <v>0</v>
      </c>
      <c r="Z89">
        <v>88</v>
      </c>
    </row>
    <row r="90" spans="1:26" x14ac:dyDescent="0.2">
      <c r="A90" s="8">
        <v>22</v>
      </c>
      <c r="B90" s="9">
        <v>9</v>
      </c>
      <c r="C90" s="9">
        <v>2</v>
      </c>
      <c r="D90" s="9">
        <v>2</v>
      </c>
      <c r="E90" s="9">
        <v>1</v>
      </c>
      <c r="F90" s="9">
        <v>1</v>
      </c>
      <c r="G90" t="s">
        <v>95</v>
      </c>
      <c r="H90" s="9">
        <v>4</v>
      </c>
      <c r="I90" s="9">
        <v>36</v>
      </c>
      <c r="J90" s="9">
        <v>10</v>
      </c>
      <c r="K90" s="10">
        <v>11.1111111111111</v>
      </c>
      <c r="L90" s="10">
        <v>40</v>
      </c>
      <c r="M90" s="10">
        <v>0.97353209613629388</v>
      </c>
      <c r="N90" s="1">
        <v>4.80390928104797E-6</v>
      </c>
      <c r="O90" s="10">
        <v>5.3184052025830901</v>
      </c>
      <c r="P90" s="14">
        <v>41.087499999999999</v>
      </c>
      <c r="Q90" s="11">
        <v>106.78511115510599</v>
      </c>
      <c r="R90" s="10">
        <v>12.21</v>
      </c>
      <c r="S90" s="10">
        <v>19.73</v>
      </c>
      <c r="T90" s="10">
        <v>1.29</v>
      </c>
      <c r="V90" s="9">
        <f t="shared" si="4"/>
        <v>43</v>
      </c>
      <c r="W90" s="9">
        <f t="shared" si="5"/>
        <v>88</v>
      </c>
      <c r="X90">
        <f t="shared" si="6"/>
        <v>3</v>
      </c>
      <c r="Y90">
        <f t="shared" si="7"/>
        <v>0</v>
      </c>
      <c r="Z90">
        <v>89</v>
      </c>
    </row>
    <row r="91" spans="1:26" x14ac:dyDescent="0.2">
      <c r="A91" s="8">
        <v>22</v>
      </c>
      <c r="B91" s="9">
        <v>9</v>
      </c>
      <c r="C91" s="9">
        <v>2</v>
      </c>
      <c r="D91" s="9">
        <v>2</v>
      </c>
      <c r="E91" s="9">
        <v>1</v>
      </c>
      <c r="F91" s="9">
        <v>2</v>
      </c>
      <c r="G91" t="s">
        <v>96</v>
      </c>
      <c r="H91" s="9">
        <v>4</v>
      </c>
      <c r="I91" s="9">
        <v>10</v>
      </c>
      <c r="J91" s="9">
        <v>34</v>
      </c>
      <c r="K91" s="10">
        <v>40</v>
      </c>
      <c r="L91" s="10">
        <v>11.764705882352899</v>
      </c>
      <c r="M91" s="10">
        <v>0.18387986515476501</v>
      </c>
      <c r="N91" s="1">
        <v>3.7932405834857301E-6</v>
      </c>
      <c r="O91" s="10">
        <v>5.4209896116165304</v>
      </c>
      <c r="P91" s="14">
        <v>63.980392156862699</v>
      </c>
      <c r="Q91" s="11">
        <v>113.401949450003</v>
      </c>
      <c r="R91" s="10">
        <v>6.85</v>
      </c>
      <c r="S91" s="10">
        <v>19.73</v>
      </c>
      <c r="T91" s="10">
        <v>1.29</v>
      </c>
      <c r="V91" s="9">
        <f t="shared" si="4"/>
        <v>43</v>
      </c>
      <c r="W91" s="9">
        <f t="shared" si="5"/>
        <v>89</v>
      </c>
      <c r="X91">
        <f t="shared" si="6"/>
        <v>3</v>
      </c>
      <c r="Y91">
        <f t="shared" si="7"/>
        <v>0</v>
      </c>
      <c r="Z91">
        <v>90</v>
      </c>
    </row>
    <row r="92" spans="1:26" x14ac:dyDescent="0.2">
      <c r="A92" s="8">
        <v>22</v>
      </c>
      <c r="B92" s="9">
        <v>1563</v>
      </c>
      <c r="C92" s="9">
        <v>2</v>
      </c>
      <c r="D92" s="9">
        <v>2</v>
      </c>
      <c r="E92" s="9">
        <v>1</v>
      </c>
      <c r="F92" s="9">
        <v>1</v>
      </c>
      <c r="G92" t="s">
        <v>97</v>
      </c>
      <c r="H92" s="9">
        <v>4</v>
      </c>
      <c r="I92" s="9">
        <v>29</v>
      </c>
      <c r="J92" s="9">
        <v>9</v>
      </c>
      <c r="K92" s="10">
        <v>13.793103448275801</v>
      </c>
      <c r="L92" s="10">
        <v>44.4444444444444</v>
      </c>
      <c r="M92" s="10">
        <v>0.76034063260340601</v>
      </c>
      <c r="N92" s="1">
        <v>1.1813537239451799E-6</v>
      </c>
      <c r="O92" s="10">
        <v>5.9276200453530201</v>
      </c>
      <c r="P92" s="14">
        <v>58.453333333333298</v>
      </c>
      <c r="Q92" s="11">
        <v>149.543407007686</v>
      </c>
      <c r="R92" s="10">
        <v>0.85</v>
      </c>
      <c r="S92" s="10">
        <v>22.47</v>
      </c>
      <c r="T92" s="10">
        <v>1.46</v>
      </c>
      <c r="V92" s="9">
        <f t="shared" si="4"/>
        <v>44</v>
      </c>
      <c r="W92" s="9">
        <f t="shared" si="5"/>
        <v>90</v>
      </c>
      <c r="X92">
        <f t="shared" si="6"/>
        <v>3</v>
      </c>
      <c r="Y92">
        <f t="shared" si="7"/>
        <v>0</v>
      </c>
      <c r="Z92">
        <v>91</v>
      </c>
    </row>
    <row r="93" spans="1:26" x14ac:dyDescent="0.2">
      <c r="A93" s="8">
        <v>22</v>
      </c>
      <c r="B93" s="9">
        <v>1563</v>
      </c>
      <c r="C93" s="9">
        <v>2</v>
      </c>
      <c r="D93" s="9">
        <v>2</v>
      </c>
      <c r="E93" s="9">
        <v>1</v>
      </c>
      <c r="F93" s="9">
        <v>2</v>
      </c>
      <c r="G93" t="s">
        <v>98</v>
      </c>
      <c r="H93" s="9">
        <v>4</v>
      </c>
      <c r="I93" s="9">
        <v>9</v>
      </c>
      <c r="J93" s="9">
        <v>29</v>
      </c>
      <c r="K93" s="10">
        <v>44.4444444444444</v>
      </c>
      <c r="L93" s="10">
        <v>13.793103448275801</v>
      </c>
      <c r="M93" s="10">
        <v>0.152998776009791</v>
      </c>
      <c r="N93" s="1">
        <v>1.18135372394517E-6</v>
      </c>
      <c r="O93" s="10">
        <v>5.9276200453530201</v>
      </c>
      <c r="P93" s="14">
        <v>90.151724137930998</v>
      </c>
      <c r="Q93" s="11">
        <v>149.543407007686</v>
      </c>
      <c r="R93" s="10">
        <v>3.38</v>
      </c>
      <c r="S93" s="10">
        <v>22.47</v>
      </c>
      <c r="T93" s="10">
        <v>1.46</v>
      </c>
      <c r="V93" s="9">
        <f t="shared" si="4"/>
        <v>44</v>
      </c>
      <c r="W93" s="9">
        <f t="shared" si="5"/>
        <v>91</v>
      </c>
      <c r="X93">
        <f t="shared" si="6"/>
        <v>3</v>
      </c>
      <c r="Y93">
        <f t="shared" si="7"/>
        <v>0</v>
      </c>
      <c r="Z93">
        <v>92</v>
      </c>
    </row>
    <row r="94" spans="1:26" x14ac:dyDescent="0.2">
      <c r="A94" s="8">
        <v>23</v>
      </c>
      <c r="B94" s="9">
        <v>28</v>
      </c>
      <c r="C94" s="9">
        <v>2</v>
      </c>
      <c r="D94" s="9">
        <v>2</v>
      </c>
      <c r="E94" s="9">
        <v>1</v>
      </c>
      <c r="F94" s="9">
        <v>1</v>
      </c>
      <c r="G94" t="s">
        <v>70</v>
      </c>
      <c r="H94" s="9">
        <v>4</v>
      </c>
      <c r="I94" s="9">
        <v>155</v>
      </c>
      <c r="J94" s="9">
        <v>4</v>
      </c>
      <c r="K94" s="10">
        <v>2.5806451612903203</v>
      </c>
      <c r="L94" s="10">
        <v>100</v>
      </c>
      <c r="M94" s="10">
        <v>4.5854843607652498</v>
      </c>
      <c r="N94" s="1">
        <v>9.4130912665883804E-6</v>
      </c>
      <c r="O94" s="10">
        <v>5.0262677304988799</v>
      </c>
      <c r="P94" s="14">
        <v>21.807947019867498</v>
      </c>
      <c r="Q94" s="11">
        <v>61.282271067728203</v>
      </c>
      <c r="R94" s="10">
        <v>6.59</v>
      </c>
      <c r="S94" s="10">
        <v>21.57</v>
      </c>
      <c r="T94" s="10">
        <v>1.41</v>
      </c>
      <c r="V94" s="9">
        <f t="shared" si="4"/>
        <v>45</v>
      </c>
      <c r="W94" s="9">
        <f t="shared" si="5"/>
        <v>92</v>
      </c>
      <c r="X94">
        <f t="shared" si="6"/>
        <v>3</v>
      </c>
      <c r="Y94">
        <f t="shared" si="7"/>
        <v>0</v>
      </c>
      <c r="Z94">
        <v>93</v>
      </c>
    </row>
    <row r="95" spans="1:26" x14ac:dyDescent="0.2">
      <c r="A95" s="8">
        <v>23</v>
      </c>
      <c r="B95" s="9">
        <v>28</v>
      </c>
      <c r="C95" s="9">
        <v>2</v>
      </c>
      <c r="D95" s="9">
        <v>2</v>
      </c>
      <c r="E95" s="9">
        <v>1</v>
      </c>
      <c r="F95" s="9">
        <v>2</v>
      </c>
      <c r="G95" t="s">
        <v>99</v>
      </c>
      <c r="H95" s="9">
        <v>4</v>
      </c>
      <c r="I95" s="9">
        <v>4</v>
      </c>
      <c r="J95" s="9">
        <v>154</v>
      </c>
      <c r="K95" s="10">
        <v>100</v>
      </c>
      <c r="L95" s="10">
        <v>2.5974025974025898</v>
      </c>
      <c r="M95" s="10">
        <v>0</v>
      </c>
      <c r="N95" s="1">
        <v>9.1701727822893393E-6</v>
      </c>
      <c r="O95" s="10">
        <v>5.03762248137601</v>
      </c>
      <c r="P95" s="14" t="s">
        <v>100</v>
      </c>
      <c r="Q95" s="11">
        <v>61.705766195212902</v>
      </c>
      <c r="R95" s="10">
        <v>8.77</v>
      </c>
      <c r="S95" s="10">
        <v>21.57</v>
      </c>
      <c r="T95" s="10">
        <v>1.41</v>
      </c>
      <c r="V95" s="9">
        <f t="shared" si="4"/>
        <v>45</v>
      </c>
      <c r="W95" s="9">
        <f t="shared" si="5"/>
        <v>93</v>
      </c>
      <c r="X95">
        <f t="shared" si="6"/>
        <v>3</v>
      </c>
      <c r="Y95">
        <f t="shared" si="7"/>
        <v>0</v>
      </c>
      <c r="Z95">
        <v>94</v>
      </c>
    </row>
    <row r="96" spans="1:26" x14ac:dyDescent="0.2">
      <c r="A96" s="8">
        <v>23</v>
      </c>
      <c r="B96" s="9">
        <v>566</v>
      </c>
      <c r="C96" s="9">
        <v>2</v>
      </c>
      <c r="D96" s="9">
        <v>2</v>
      </c>
      <c r="E96" s="9">
        <v>1</v>
      </c>
      <c r="F96" s="9">
        <v>1</v>
      </c>
      <c r="G96" t="s">
        <v>101</v>
      </c>
      <c r="H96" s="9">
        <v>5</v>
      </c>
      <c r="I96" s="9">
        <v>51</v>
      </c>
      <c r="J96" s="9">
        <v>17</v>
      </c>
      <c r="K96" s="10">
        <v>9.8039215686274499</v>
      </c>
      <c r="L96" s="10">
        <v>29.411764705882298</v>
      </c>
      <c r="M96" s="10">
        <v>1.40243902439024</v>
      </c>
      <c r="N96" s="1">
        <v>7.8048531316204194E-6</v>
      </c>
      <c r="O96" s="10">
        <v>5.1076352648920098</v>
      </c>
      <c r="P96" s="14">
        <v>20.9718670076726</v>
      </c>
      <c r="Q96" s="11">
        <v>69.7010329847691</v>
      </c>
      <c r="R96" s="10">
        <v>0.52</v>
      </c>
      <c r="S96" s="10">
        <v>22.24</v>
      </c>
      <c r="T96" s="10">
        <v>1.45</v>
      </c>
      <c r="V96" s="9">
        <f t="shared" si="4"/>
        <v>46</v>
      </c>
      <c r="W96" s="9">
        <f t="shared" si="5"/>
        <v>94</v>
      </c>
      <c r="X96">
        <f t="shared" si="6"/>
        <v>3</v>
      </c>
      <c r="Y96">
        <f t="shared" si="7"/>
        <v>0</v>
      </c>
      <c r="Z96">
        <v>95</v>
      </c>
    </row>
    <row r="97" spans="1:26" x14ac:dyDescent="0.2">
      <c r="A97" s="8">
        <v>23</v>
      </c>
      <c r="B97" s="9">
        <v>566</v>
      </c>
      <c r="C97" s="9">
        <v>2</v>
      </c>
      <c r="D97" s="9">
        <v>2</v>
      </c>
      <c r="E97" s="9">
        <v>1</v>
      </c>
      <c r="F97" s="9">
        <v>2</v>
      </c>
      <c r="G97" t="s">
        <v>102</v>
      </c>
      <c r="H97" s="9">
        <v>5</v>
      </c>
      <c r="I97" s="9">
        <v>16</v>
      </c>
      <c r="J97" s="9">
        <v>51</v>
      </c>
      <c r="K97" s="10">
        <v>31.25</v>
      </c>
      <c r="L97" s="10">
        <v>9.8039215686274499</v>
      </c>
      <c r="M97" s="10">
        <v>0.338878619839802</v>
      </c>
      <c r="N97" s="1">
        <v>5.5741569049327098E-6</v>
      </c>
      <c r="O97" s="10">
        <v>5.25382081065188</v>
      </c>
      <c r="P97" s="14">
        <v>28.930481283422399</v>
      </c>
      <c r="Q97" s="11">
        <v>74.576336638546195</v>
      </c>
      <c r="R97" s="10">
        <v>0.63</v>
      </c>
      <c r="S97" s="10">
        <v>22.24</v>
      </c>
      <c r="T97" s="10">
        <v>1.45</v>
      </c>
      <c r="V97" s="9">
        <f t="shared" si="4"/>
        <v>46</v>
      </c>
      <c r="W97" s="9">
        <f t="shared" si="5"/>
        <v>95</v>
      </c>
      <c r="X97">
        <f t="shared" si="6"/>
        <v>3</v>
      </c>
      <c r="Y97">
        <f t="shared" si="7"/>
        <v>0</v>
      </c>
      <c r="Z97">
        <v>96</v>
      </c>
    </row>
    <row r="98" spans="1:26" x14ac:dyDescent="0.2">
      <c r="A98" s="8">
        <v>24</v>
      </c>
      <c r="B98" s="9">
        <v>992</v>
      </c>
      <c r="C98" s="9">
        <v>2</v>
      </c>
      <c r="D98" s="9">
        <v>2</v>
      </c>
      <c r="E98" s="9">
        <v>1</v>
      </c>
      <c r="F98" s="9">
        <v>1</v>
      </c>
      <c r="G98" t="s">
        <v>103</v>
      </c>
      <c r="H98" s="9">
        <v>4</v>
      </c>
      <c r="I98" s="9">
        <v>8</v>
      </c>
      <c r="J98" s="9">
        <v>44</v>
      </c>
      <c r="K98" s="10">
        <v>50</v>
      </c>
      <c r="L98" s="10">
        <v>9.0909090909090899</v>
      </c>
      <c r="M98" s="10">
        <v>0.122963418383031</v>
      </c>
      <c r="N98" s="1">
        <v>3.71909646244361E-6</v>
      </c>
      <c r="O98" s="10">
        <v>5.4295625571710904</v>
      </c>
      <c r="P98" s="14">
        <v>73.931818181818102</v>
      </c>
      <c r="Q98" s="11">
        <v>109.570701859473</v>
      </c>
      <c r="R98" s="10">
        <v>2.72</v>
      </c>
      <c r="S98" s="10">
        <v>24.25</v>
      </c>
      <c r="T98" s="10">
        <v>1.58</v>
      </c>
      <c r="V98" s="9">
        <f t="shared" si="4"/>
        <v>47</v>
      </c>
      <c r="W98" s="9">
        <f t="shared" si="5"/>
        <v>96</v>
      </c>
      <c r="X98">
        <f t="shared" si="6"/>
        <v>3</v>
      </c>
      <c r="Y98">
        <f t="shared" si="7"/>
        <v>0</v>
      </c>
      <c r="Z98">
        <v>97</v>
      </c>
    </row>
    <row r="99" spans="1:26" x14ac:dyDescent="0.2">
      <c r="A99" s="8">
        <v>24</v>
      </c>
      <c r="B99" s="9">
        <v>992</v>
      </c>
      <c r="C99" s="9">
        <v>2</v>
      </c>
      <c r="D99" s="9">
        <v>2</v>
      </c>
      <c r="E99" s="9">
        <v>1</v>
      </c>
      <c r="F99" s="9">
        <v>2</v>
      </c>
      <c r="G99" t="s">
        <v>104</v>
      </c>
      <c r="H99" s="9">
        <v>4</v>
      </c>
      <c r="I99" s="9">
        <v>45</v>
      </c>
      <c r="J99" s="9">
        <v>8</v>
      </c>
      <c r="K99" s="10">
        <v>8.8888888888888786</v>
      </c>
      <c r="L99" s="10">
        <v>50</v>
      </c>
      <c r="M99" s="10">
        <v>1.24657950744907</v>
      </c>
      <c r="N99" s="1">
        <v>4.0779345445181397E-6</v>
      </c>
      <c r="O99" s="10">
        <v>5.3895597494217098</v>
      </c>
      <c r="P99" s="14">
        <v>40.109756097560897</v>
      </c>
      <c r="Q99" s="11">
        <v>107.01552749878201</v>
      </c>
      <c r="R99" s="10">
        <v>3.41</v>
      </c>
      <c r="S99" s="10">
        <v>24.25</v>
      </c>
      <c r="T99" s="10">
        <v>1.58</v>
      </c>
      <c r="V99" s="9">
        <f t="shared" si="4"/>
        <v>47</v>
      </c>
      <c r="W99" s="9">
        <f t="shared" si="5"/>
        <v>97</v>
      </c>
      <c r="X99">
        <f t="shared" si="6"/>
        <v>3</v>
      </c>
      <c r="Y99">
        <f t="shared" si="7"/>
        <v>0</v>
      </c>
      <c r="Z99">
        <v>98</v>
      </c>
    </row>
    <row r="100" spans="1:26" x14ac:dyDescent="0.2">
      <c r="A100" s="8">
        <v>25</v>
      </c>
      <c r="B100" s="9">
        <v>726</v>
      </c>
      <c r="C100" s="9">
        <v>2</v>
      </c>
      <c r="D100" s="9">
        <v>2</v>
      </c>
      <c r="E100" s="9">
        <v>1</v>
      </c>
      <c r="F100" s="9">
        <v>1</v>
      </c>
      <c r="G100" t="s">
        <v>105</v>
      </c>
      <c r="H100" s="9">
        <v>4</v>
      </c>
      <c r="I100" s="9">
        <v>50</v>
      </c>
      <c r="J100" s="9">
        <v>6</v>
      </c>
      <c r="K100" s="10">
        <v>8</v>
      </c>
      <c r="L100" s="10">
        <v>66.6666666666666</v>
      </c>
      <c r="M100" s="10">
        <v>1.39775144333029</v>
      </c>
      <c r="N100" s="1">
        <v>1.37461483093639E-6</v>
      </c>
      <c r="O100" s="10">
        <v>5.8618189747299603</v>
      </c>
      <c r="P100" s="14">
        <v>47.695652173912997</v>
      </c>
      <c r="Q100" s="11">
        <v>129.92164322567999</v>
      </c>
      <c r="R100" s="10">
        <v>3.02</v>
      </c>
      <c r="S100" s="10">
        <v>23.53</v>
      </c>
      <c r="T100" s="10">
        <v>1.53</v>
      </c>
      <c r="V100" s="9">
        <f t="shared" si="4"/>
        <v>48</v>
      </c>
      <c r="W100" s="9">
        <f t="shared" si="5"/>
        <v>98</v>
      </c>
      <c r="X100">
        <f t="shared" si="6"/>
        <v>3</v>
      </c>
      <c r="Y100">
        <f t="shared" si="7"/>
        <v>0</v>
      </c>
      <c r="Z100">
        <v>99</v>
      </c>
    </row>
    <row r="101" spans="1:26" x14ac:dyDescent="0.2">
      <c r="A101" s="8">
        <v>25</v>
      </c>
      <c r="B101" s="9">
        <v>726</v>
      </c>
      <c r="C101" s="9">
        <v>2</v>
      </c>
      <c r="D101" s="9">
        <v>2</v>
      </c>
      <c r="E101" s="9">
        <v>1</v>
      </c>
      <c r="F101" s="9">
        <v>2</v>
      </c>
      <c r="G101" t="s">
        <v>106</v>
      </c>
      <c r="H101" s="9">
        <v>4</v>
      </c>
      <c r="I101" s="9">
        <v>6</v>
      </c>
      <c r="J101" s="9">
        <v>51</v>
      </c>
      <c r="K101" s="10">
        <v>66.6666666666666</v>
      </c>
      <c r="L101" s="10">
        <v>7.8431372549019605</v>
      </c>
      <c r="M101" s="10">
        <v>6.1614294516327703E-2</v>
      </c>
      <c r="N101" s="1">
        <v>1.4908707471624E-6</v>
      </c>
      <c r="O101" s="10">
        <v>5.8265600065988901</v>
      </c>
      <c r="P101" s="14">
        <v>127.294117647058</v>
      </c>
      <c r="Q101" s="11">
        <v>127.277402087323</v>
      </c>
      <c r="R101" s="10">
        <v>0.95</v>
      </c>
      <c r="S101" s="10">
        <v>23.53</v>
      </c>
      <c r="T101" s="10">
        <v>1.53</v>
      </c>
      <c r="V101" s="9">
        <f t="shared" si="4"/>
        <v>48</v>
      </c>
      <c r="W101" s="9">
        <f t="shared" si="5"/>
        <v>99</v>
      </c>
      <c r="X101">
        <f t="shared" si="6"/>
        <v>3</v>
      </c>
      <c r="Y101">
        <f t="shared" si="7"/>
        <v>0</v>
      </c>
      <c r="Z101">
        <v>100</v>
      </c>
    </row>
    <row r="102" spans="1:26" x14ac:dyDescent="0.2">
      <c r="A102" s="8">
        <v>25</v>
      </c>
      <c r="B102" s="9">
        <v>1401</v>
      </c>
      <c r="C102" s="9">
        <v>2</v>
      </c>
      <c r="D102" s="9">
        <v>2</v>
      </c>
      <c r="E102" s="9">
        <v>1</v>
      </c>
      <c r="F102" s="9">
        <v>1</v>
      </c>
      <c r="G102" t="s">
        <v>107</v>
      </c>
      <c r="H102" s="9">
        <v>4</v>
      </c>
      <c r="I102" s="9">
        <v>16</v>
      </c>
      <c r="J102" s="9">
        <v>4</v>
      </c>
      <c r="K102" s="10">
        <v>25</v>
      </c>
      <c r="L102" s="10">
        <v>100</v>
      </c>
      <c r="M102" s="10">
        <v>0.36440935317339801</v>
      </c>
      <c r="N102" s="1">
        <v>7.4067461672945699E-10</v>
      </c>
      <c r="O102" s="10">
        <v>9.1303725385713292</v>
      </c>
      <c r="P102" s="14">
        <v>274.416666666666</v>
      </c>
      <c r="Q102" s="11">
        <v>627.89098353562395</v>
      </c>
      <c r="R102" s="10">
        <v>3.25</v>
      </c>
      <c r="S102" s="10">
        <v>16.940000000000001</v>
      </c>
      <c r="T102" s="10">
        <v>1.1000000000000001</v>
      </c>
      <c r="V102" s="9">
        <f t="shared" si="4"/>
        <v>49</v>
      </c>
      <c r="W102" s="9">
        <f t="shared" si="5"/>
        <v>100</v>
      </c>
      <c r="X102">
        <f t="shared" si="6"/>
        <v>3</v>
      </c>
      <c r="Y102">
        <f t="shared" si="7"/>
        <v>0</v>
      </c>
      <c r="Z102">
        <v>101</v>
      </c>
    </row>
    <row r="103" spans="1:26" x14ac:dyDescent="0.2">
      <c r="A103" s="8">
        <v>25</v>
      </c>
      <c r="B103" s="9">
        <v>1401</v>
      </c>
      <c r="C103" s="9">
        <v>2</v>
      </c>
      <c r="D103" s="9">
        <v>2</v>
      </c>
      <c r="E103" s="9">
        <v>1</v>
      </c>
      <c r="F103" s="9">
        <v>2</v>
      </c>
      <c r="G103" t="s">
        <v>108</v>
      </c>
      <c r="H103" s="9">
        <v>4</v>
      </c>
      <c r="I103" s="9">
        <v>4</v>
      </c>
      <c r="J103" s="9">
        <v>16</v>
      </c>
      <c r="K103" s="10">
        <v>100</v>
      </c>
      <c r="L103" s="10">
        <v>25</v>
      </c>
      <c r="M103" s="10">
        <v>0</v>
      </c>
      <c r="N103" s="1">
        <v>7.4067461672945596E-10</v>
      </c>
      <c r="O103" s="10">
        <v>9.1303725385713292</v>
      </c>
      <c r="P103" s="14" t="s">
        <v>109</v>
      </c>
      <c r="Q103" s="11">
        <v>627.89098353562395</v>
      </c>
      <c r="R103" s="10">
        <v>0.27</v>
      </c>
      <c r="S103" s="10">
        <v>16.940000000000001</v>
      </c>
      <c r="T103" s="10">
        <v>1.1000000000000001</v>
      </c>
      <c r="V103" s="9">
        <f t="shared" si="4"/>
        <v>49</v>
      </c>
      <c r="W103" s="9">
        <f t="shared" si="5"/>
        <v>101</v>
      </c>
      <c r="X103">
        <f t="shared" si="6"/>
        <v>3</v>
      </c>
      <c r="Y103">
        <f t="shared" si="7"/>
        <v>0</v>
      </c>
      <c r="Z103">
        <v>102</v>
      </c>
    </row>
    <row r="104" spans="1:26" x14ac:dyDescent="0.2">
      <c r="A104" s="8">
        <v>25</v>
      </c>
      <c r="B104" s="9">
        <v>1519</v>
      </c>
      <c r="C104" s="9">
        <v>2</v>
      </c>
      <c r="D104" s="9">
        <v>2</v>
      </c>
      <c r="E104" s="9">
        <v>1</v>
      </c>
      <c r="F104" s="9">
        <v>1</v>
      </c>
      <c r="G104" t="s">
        <v>110</v>
      </c>
      <c r="H104" s="9">
        <v>4</v>
      </c>
      <c r="I104" s="9">
        <v>17</v>
      </c>
      <c r="J104" s="9">
        <v>24</v>
      </c>
      <c r="K104" s="10">
        <v>23.529411764705799</v>
      </c>
      <c r="L104" s="10">
        <v>16.6666666666666</v>
      </c>
      <c r="M104" s="10">
        <v>0.39718912312862797</v>
      </c>
      <c r="N104" s="1">
        <v>9.6604225523528006E-6</v>
      </c>
      <c r="O104" s="10">
        <v>5.0150038768824698</v>
      </c>
      <c r="P104" s="14">
        <v>41.961538461538403</v>
      </c>
      <c r="Q104" s="11">
        <v>93.270931977711996</v>
      </c>
      <c r="R104" s="10">
        <v>40.909999999999997</v>
      </c>
      <c r="S104" s="10">
        <v>24.73</v>
      </c>
      <c r="T104" s="10">
        <v>1.61</v>
      </c>
      <c r="V104" s="9">
        <f t="shared" si="4"/>
        <v>50</v>
      </c>
      <c r="W104" s="9">
        <f t="shared" si="5"/>
        <v>102</v>
      </c>
      <c r="X104">
        <f t="shared" si="6"/>
        <v>3</v>
      </c>
      <c r="Y104">
        <f t="shared" si="7"/>
        <v>0</v>
      </c>
      <c r="Z104">
        <v>103</v>
      </c>
    </row>
    <row r="105" spans="1:26" x14ac:dyDescent="0.2">
      <c r="A105" s="8">
        <v>25</v>
      </c>
      <c r="B105" s="9">
        <v>1519</v>
      </c>
      <c r="C105" s="9">
        <v>2</v>
      </c>
      <c r="D105" s="9">
        <v>2</v>
      </c>
      <c r="E105" s="9">
        <v>1</v>
      </c>
      <c r="F105" s="9">
        <v>2</v>
      </c>
      <c r="G105" t="s">
        <v>111</v>
      </c>
      <c r="H105" s="9">
        <v>4</v>
      </c>
      <c r="I105" s="9">
        <v>24</v>
      </c>
      <c r="J105" s="9">
        <v>17</v>
      </c>
      <c r="K105" s="10">
        <v>16.6666666666666</v>
      </c>
      <c r="L105" s="10">
        <v>23.529411764705799</v>
      </c>
      <c r="M105" s="10">
        <v>0.60975609756097504</v>
      </c>
      <c r="N105" s="1">
        <v>9.6604225523528192E-6</v>
      </c>
      <c r="O105" s="10">
        <v>5.0150038768824698</v>
      </c>
      <c r="P105" s="14">
        <v>38.588235294117602</v>
      </c>
      <c r="Q105" s="11">
        <v>93.270931977711996</v>
      </c>
      <c r="R105" s="10">
        <v>4.8899999999999997</v>
      </c>
      <c r="S105" s="10">
        <v>24.73</v>
      </c>
      <c r="T105" s="10">
        <v>1.61</v>
      </c>
      <c r="V105" s="9">
        <f t="shared" si="4"/>
        <v>50</v>
      </c>
      <c r="W105" s="9">
        <f t="shared" si="5"/>
        <v>103</v>
      </c>
      <c r="X105">
        <f t="shared" si="6"/>
        <v>3</v>
      </c>
      <c r="Y105">
        <f t="shared" si="7"/>
        <v>0</v>
      </c>
      <c r="Z105">
        <v>104</v>
      </c>
    </row>
    <row r="106" spans="1:26" x14ac:dyDescent="0.2">
      <c r="A106" s="8">
        <v>25</v>
      </c>
      <c r="B106" s="9">
        <v>2857</v>
      </c>
      <c r="C106" s="9">
        <v>2</v>
      </c>
      <c r="D106" s="9">
        <v>2</v>
      </c>
      <c r="E106" s="9">
        <v>1</v>
      </c>
      <c r="F106" s="9">
        <v>1</v>
      </c>
      <c r="G106" t="s">
        <v>112</v>
      </c>
      <c r="H106" s="9">
        <v>4</v>
      </c>
      <c r="I106" s="9">
        <v>19</v>
      </c>
      <c r="J106" s="9">
        <v>19</v>
      </c>
      <c r="K106" s="10">
        <v>21.052631578947299</v>
      </c>
      <c r="L106" s="10">
        <v>21.052631578947299</v>
      </c>
      <c r="M106" s="10">
        <v>0.45759609517998701</v>
      </c>
      <c r="N106" s="1">
        <v>5.78794608647862E-6</v>
      </c>
      <c r="O106" s="10">
        <v>5.2374755228974799</v>
      </c>
      <c r="P106" s="14">
        <v>46.007017543859597</v>
      </c>
      <c r="Q106" s="11">
        <v>106.208899553108</v>
      </c>
      <c r="R106" s="10">
        <v>42.48</v>
      </c>
      <c r="S106" s="10">
        <v>22.81</v>
      </c>
      <c r="T106" s="10">
        <v>1.49</v>
      </c>
      <c r="V106" s="9">
        <f t="shared" si="4"/>
        <v>51</v>
      </c>
      <c r="W106" s="9">
        <f t="shared" si="5"/>
        <v>104</v>
      </c>
      <c r="X106">
        <f t="shared" si="6"/>
        <v>3</v>
      </c>
      <c r="Y106">
        <f t="shared" si="7"/>
        <v>0</v>
      </c>
      <c r="Z106">
        <v>105</v>
      </c>
    </row>
    <row r="107" spans="1:26" x14ac:dyDescent="0.2">
      <c r="A107" s="8">
        <v>25</v>
      </c>
      <c r="B107" s="9">
        <v>2857</v>
      </c>
      <c r="C107" s="9">
        <v>2</v>
      </c>
      <c r="D107" s="9">
        <v>2</v>
      </c>
      <c r="E107" s="9">
        <v>1</v>
      </c>
      <c r="F107" s="9">
        <v>2</v>
      </c>
      <c r="G107" t="s">
        <v>113</v>
      </c>
      <c r="H107" s="9">
        <v>4</v>
      </c>
      <c r="I107" s="9">
        <v>19</v>
      </c>
      <c r="J107" s="9">
        <v>17</v>
      </c>
      <c r="K107" s="10">
        <v>21.052631578947299</v>
      </c>
      <c r="L107" s="10">
        <v>23.529411764705799</v>
      </c>
      <c r="M107" s="10">
        <v>0.457317073170731</v>
      </c>
      <c r="N107" s="1">
        <v>3.5800816089731498E-6</v>
      </c>
      <c r="O107" s="10">
        <v>5.4461070733776999</v>
      </c>
      <c r="P107" s="14">
        <v>51.450980392156801</v>
      </c>
      <c r="Q107" s="11">
        <v>119.439603560533</v>
      </c>
      <c r="R107" s="10">
        <v>2.08</v>
      </c>
      <c r="S107" s="10">
        <v>22.81</v>
      </c>
      <c r="T107" s="10">
        <v>1.49</v>
      </c>
      <c r="V107" s="9">
        <f t="shared" si="4"/>
        <v>51</v>
      </c>
      <c r="W107" s="9">
        <f t="shared" si="5"/>
        <v>105</v>
      </c>
      <c r="X107">
        <f t="shared" si="6"/>
        <v>3</v>
      </c>
      <c r="Y107">
        <f t="shared" si="7"/>
        <v>0</v>
      </c>
      <c r="Z107">
        <v>106</v>
      </c>
    </row>
    <row r="108" spans="1:26" x14ac:dyDescent="0.2">
      <c r="A108" s="8">
        <v>26</v>
      </c>
      <c r="B108" s="9">
        <v>1135</v>
      </c>
      <c r="C108" s="9">
        <v>2</v>
      </c>
      <c r="D108" s="9">
        <v>2</v>
      </c>
      <c r="E108" s="9">
        <v>1</v>
      </c>
      <c r="F108" s="9">
        <v>1</v>
      </c>
      <c r="G108" t="s">
        <v>114</v>
      </c>
      <c r="H108" s="9">
        <v>10</v>
      </c>
      <c r="I108" s="9">
        <v>51</v>
      </c>
      <c r="J108" s="9">
        <v>99</v>
      </c>
      <c r="K108" s="10">
        <v>19.6078431372549</v>
      </c>
      <c r="L108" s="10">
        <v>10.1010101010101</v>
      </c>
      <c r="M108" s="10">
        <v>1.2820512820512799</v>
      </c>
      <c r="N108" s="1">
        <v>3.4694467363162401E-6</v>
      </c>
      <c r="O108" s="10">
        <v>5.4597397755037198</v>
      </c>
      <c r="P108" s="14">
        <v>7.87878787878787</v>
      </c>
      <c r="Q108" s="11">
        <v>43.4199583938355</v>
      </c>
      <c r="R108" s="10">
        <v>2.4700000000000002</v>
      </c>
      <c r="S108" s="10">
        <v>21.87</v>
      </c>
      <c r="T108" s="10">
        <v>1.42</v>
      </c>
      <c r="V108" s="9">
        <f t="shared" si="4"/>
        <v>52</v>
      </c>
      <c r="W108" s="9">
        <f t="shared" si="5"/>
        <v>106</v>
      </c>
      <c r="X108">
        <f t="shared" si="6"/>
        <v>3</v>
      </c>
      <c r="Y108">
        <f t="shared" si="7"/>
        <v>0</v>
      </c>
      <c r="Z108">
        <v>107</v>
      </c>
    </row>
    <row r="109" spans="1:26" x14ac:dyDescent="0.2">
      <c r="A109" s="8">
        <v>26</v>
      </c>
      <c r="B109" s="9">
        <v>1135</v>
      </c>
      <c r="C109" s="9">
        <v>2</v>
      </c>
      <c r="D109" s="9">
        <v>2</v>
      </c>
      <c r="E109" s="9">
        <v>1</v>
      </c>
      <c r="F109" s="9">
        <v>2</v>
      </c>
      <c r="G109" t="s">
        <v>5</v>
      </c>
      <c r="H109" s="9">
        <v>10</v>
      </c>
      <c r="I109" s="9">
        <v>101</v>
      </c>
      <c r="J109" s="9">
        <v>50</v>
      </c>
      <c r="K109" s="10">
        <v>9.9009900990099009</v>
      </c>
      <c r="L109" s="10">
        <v>20</v>
      </c>
      <c r="M109" s="10">
        <v>2.8025870033877398</v>
      </c>
      <c r="N109" s="1">
        <v>3.4477742244352698E-6</v>
      </c>
      <c r="O109" s="10">
        <v>5.4624611814471802</v>
      </c>
      <c r="P109" s="14">
        <v>7.1362637362637296</v>
      </c>
      <c r="Q109" s="11">
        <v>43.421842704349302</v>
      </c>
      <c r="R109" s="10">
        <v>4.0199999999999996</v>
      </c>
      <c r="S109" s="10">
        <v>21.87</v>
      </c>
      <c r="T109" s="10">
        <v>1.42</v>
      </c>
      <c r="V109" s="9">
        <f t="shared" si="4"/>
        <v>52</v>
      </c>
      <c r="W109" s="9">
        <f t="shared" si="5"/>
        <v>107</v>
      </c>
      <c r="X109">
        <f t="shared" si="6"/>
        <v>3</v>
      </c>
      <c r="Y109">
        <f t="shared" si="7"/>
        <v>0</v>
      </c>
      <c r="Z109">
        <v>108</v>
      </c>
    </row>
    <row r="110" spans="1:26" x14ac:dyDescent="0.2">
      <c r="A110" s="8">
        <v>27</v>
      </c>
      <c r="B110" s="9">
        <v>1145</v>
      </c>
      <c r="C110" s="9">
        <v>3</v>
      </c>
      <c r="D110" s="9">
        <v>3</v>
      </c>
      <c r="E110" s="9">
        <v>1</v>
      </c>
      <c r="F110" s="9">
        <v>1</v>
      </c>
      <c r="G110" t="s">
        <v>115</v>
      </c>
      <c r="H110" s="9">
        <v>2</v>
      </c>
      <c r="I110" s="9">
        <v>2</v>
      </c>
      <c r="J110" s="9">
        <v>5</v>
      </c>
      <c r="K110" s="10">
        <v>100</v>
      </c>
      <c r="L110" s="10">
        <v>40</v>
      </c>
      <c r="M110" s="10">
        <v>0</v>
      </c>
      <c r="N110" s="1">
        <v>3.6808984925984502E-6</v>
      </c>
      <c r="O110" s="10">
        <v>5.4340461588402604</v>
      </c>
      <c r="P110" s="14" t="s">
        <v>116</v>
      </c>
      <c r="Q110" s="11">
        <v>740.39932502253998</v>
      </c>
      <c r="R110" s="10">
        <v>0.74</v>
      </c>
      <c r="S110" s="10">
        <v>38.5</v>
      </c>
      <c r="T110" s="10">
        <v>2.5099999999999998</v>
      </c>
      <c r="V110" s="9">
        <f t="shared" si="4"/>
        <v>53</v>
      </c>
      <c r="W110" s="9">
        <f t="shared" si="5"/>
        <v>108</v>
      </c>
      <c r="X110">
        <f t="shared" si="6"/>
        <v>3</v>
      </c>
      <c r="Y110">
        <f t="shared" si="7"/>
        <v>0</v>
      </c>
      <c r="Z110">
        <v>109</v>
      </c>
    </row>
    <row r="111" spans="1:26" x14ac:dyDescent="0.2">
      <c r="A111" s="8">
        <v>27</v>
      </c>
      <c r="B111" s="9">
        <v>1145</v>
      </c>
      <c r="C111" s="9">
        <v>3</v>
      </c>
      <c r="D111" s="9">
        <v>3</v>
      </c>
      <c r="E111" s="9">
        <v>1</v>
      </c>
      <c r="F111" s="9">
        <v>2</v>
      </c>
      <c r="G111" t="s">
        <v>117</v>
      </c>
      <c r="H111" s="9">
        <v>2</v>
      </c>
      <c r="I111" s="9">
        <v>2</v>
      </c>
      <c r="J111" s="9">
        <v>5</v>
      </c>
      <c r="K111" s="10">
        <v>100</v>
      </c>
      <c r="L111" s="10">
        <v>40</v>
      </c>
      <c r="M111" s="10">
        <v>0</v>
      </c>
      <c r="N111" s="1">
        <v>3.6808984925984502E-6</v>
      </c>
      <c r="O111" s="10">
        <v>5.4340461588402604</v>
      </c>
      <c r="P111" s="14" t="s">
        <v>116</v>
      </c>
      <c r="Q111" s="11">
        <v>740.39932502253998</v>
      </c>
      <c r="R111" s="10">
        <v>0.15</v>
      </c>
      <c r="S111" s="10">
        <v>38.5</v>
      </c>
      <c r="T111" s="10">
        <v>2.5099999999999998</v>
      </c>
      <c r="V111" s="9">
        <f t="shared" si="4"/>
        <v>53</v>
      </c>
      <c r="W111" s="9">
        <f t="shared" si="5"/>
        <v>109</v>
      </c>
      <c r="X111">
        <f t="shared" si="6"/>
        <v>3</v>
      </c>
      <c r="Y111">
        <f t="shared" si="7"/>
        <v>0</v>
      </c>
      <c r="Z111">
        <v>110</v>
      </c>
    </row>
    <row r="112" spans="1:26" x14ac:dyDescent="0.2">
      <c r="A112" s="8">
        <v>27</v>
      </c>
      <c r="B112" s="9">
        <v>1145</v>
      </c>
      <c r="C112" s="9">
        <v>3</v>
      </c>
      <c r="D112" s="9">
        <v>3</v>
      </c>
      <c r="E112" s="9">
        <v>1</v>
      </c>
      <c r="F112" s="9">
        <v>3</v>
      </c>
      <c r="G112" t="s">
        <v>118</v>
      </c>
      <c r="H112" s="9">
        <v>2</v>
      </c>
      <c r="I112" s="9">
        <v>5</v>
      </c>
      <c r="J112" s="9">
        <v>2</v>
      </c>
      <c r="K112" s="10">
        <v>40</v>
      </c>
      <c r="L112" s="10">
        <v>100</v>
      </c>
      <c r="M112" s="10">
        <v>9.1047040971168405E-2</v>
      </c>
      <c r="N112" s="1">
        <v>3.68089849259844E-6</v>
      </c>
      <c r="O112" s="10">
        <v>5.4340461588402604</v>
      </c>
      <c r="P112" s="14">
        <v>1098.3333333333301</v>
      </c>
      <c r="Q112" s="11">
        <v>740.39932502253998</v>
      </c>
      <c r="R112" s="10">
        <v>19.690000000000001</v>
      </c>
      <c r="S112" s="10">
        <v>38.5</v>
      </c>
      <c r="T112" s="10">
        <v>2.5099999999999998</v>
      </c>
      <c r="V112" s="9">
        <f t="shared" si="4"/>
        <v>53</v>
      </c>
      <c r="W112" s="9">
        <f t="shared" si="5"/>
        <v>110</v>
      </c>
      <c r="X112">
        <f t="shared" si="6"/>
        <v>3</v>
      </c>
      <c r="Y112">
        <f t="shared" si="7"/>
        <v>0</v>
      </c>
      <c r="Z112">
        <v>111</v>
      </c>
    </row>
    <row r="113" spans="1:26" x14ac:dyDescent="0.2">
      <c r="A113" s="8">
        <v>28</v>
      </c>
      <c r="B113" s="9">
        <v>93</v>
      </c>
      <c r="C113" s="9">
        <v>2</v>
      </c>
      <c r="D113" s="9">
        <v>2</v>
      </c>
      <c r="E113" s="9">
        <v>1</v>
      </c>
      <c r="F113" s="9">
        <v>1</v>
      </c>
      <c r="G113" t="s">
        <v>119</v>
      </c>
      <c r="H113" s="9">
        <v>5</v>
      </c>
      <c r="I113" s="9">
        <v>8</v>
      </c>
      <c r="J113" s="9">
        <v>105</v>
      </c>
      <c r="K113" s="10">
        <v>62.5</v>
      </c>
      <c r="L113" s="10">
        <v>4.7619047619047601</v>
      </c>
      <c r="M113" s="10">
        <v>9.3984962406015005E-2</v>
      </c>
      <c r="N113" s="1">
        <v>3.0940922606031099E-6</v>
      </c>
      <c r="O113" s="10">
        <v>5.5094667405159496</v>
      </c>
      <c r="P113" s="14">
        <v>50.6666666666666</v>
      </c>
      <c r="Q113" s="11">
        <v>73.240584556676097</v>
      </c>
      <c r="R113" s="10">
        <v>4.74</v>
      </c>
      <c r="S113" s="10">
        <v>22.56</v>
      </c>
      <c r="T113" s="10">
        <v>1.47</v>
      </c>
      <c r="V113" s="9">
        <f t="shared" si="4"/>
        <v>54</v>
      </c>
      <c r="W113" s="9">
        <f t="shared" si="5"/>
        <v>111</v>
      </c>
      <c r="X113">
        <f t="shared" si="6"/>
        <v>4</v>
      </c>
      <c r="Y113">
        <f t="shared" si="7"/>
        <v>0</v>
      </c>
      <c r="Z113">
        <v>112</v>
      </c>
    </row>
    <row r="114" spans="1:26" x14ac:dyDescent="0.2">
      <c r="A114" s="8">
        <v>28</v>
      </c>
      <c r="B114" s="9">
        <v>93</v>
      </c>
      <c r="C114" s="9">
        <v>2</v>
      </c>
      <c r="D114" s="9">
        <v>2</v>
      </c>
      <c r="E114" s="9">
        <v>1</v>
      </c>
      <c r="F114" s="9">
        <v>2</v>
      </c>
      <c r="G114" t="s">
        <v>120</v>
      </c>
      <c r="H114" s="9">
        <v>5</v>
      </c>
      <c r="I114" s="9">
        <v>105</v>
      </c>
      <c r="J114" s="9">
        <v>8</v>
      </c>
      <c r="K114" s="10">
        <v>4.7619047619047601</v>
      </c>
      <c r="L114" s="10">
        <v>62.5</v>
      </c>
      <c r="M114" s="10">
        <v>3.0404378230465099</v>
      </c>
      <c r="N114" s="1">
        <v>3.0940922606031099E-6</v>
      </c>
      <c r="O114" s="10">
        <v>5.5094667405159496</v>
      </c>
      <c r="P114" s="14">
        <v>20.556249999999999</v>
      </c>
      <c r="Q114" s="11">
        <v>73.240584556676097</v>
      </c>
      <c r="R114" s="10">
        <v>999</v>
      </c>
      <c r="S114" s="10">
        <v>22.56</v>
      </c>
      <c r="T114" s="10">
        <v>1.47</v>
      </c>
      <c r="V114" s="9">
        <f t="shared" si="4"/>
        <v>54</v>
      </c>
      <c r="W114" s="9">
        <f t="shared" si="5"/>
        <v>112</v>
      </c>
      <c r="X114">
        <f t="shared" si="6"/>
        <v>4</v>
      </c>
      <c r="Y114">
        <f t="shared" si="7"/>
        <v>0</v>
      </c>
      <c r="Z114">
        <v>113</v>
      </c>
    </row>
    <row r="115" spans="1:26" x14ac:dyDescent="0.2">
      <c r="A115" s="8">
        <v>29</v>
      </c>
      <c r="B115" s="9">
        <v>1121</v>
      </c>
      <c r="C115" s="9">
        <v>3</v>
      </c>
      <c r="D115" s="9">
        <v>3</v>
      </c>
      <c r="E115" s="9">
        <v>1</v>
      </c>
      <c r="F115" s="9">
        <v>1</v>
      </c>
      <c r="G115" t="s">
        <v>121</v>
      </c>
      <c r="H115" s="9">
        <v>12</v>
      </c>
      <c r="I115" s="9">
        <v>115</v>
      </c>
      <c r="J115" s="9">
        <v>29</v>
      </c>
      <c r="K115" s="10">
        <v>10.434782608695601</v>
      </c>
      <c r="L115" s="10">
        <v>41.379310344827502</v>
      </c>
      <c r="M115" s="10">
        <v>3.15177478580171</v>
      </c>
      <c r="N115" s="1">
        <v>1.15027637908068E-10</v>
      </c>
      <c r="O115" s="10">
        <v>9.9391977983519606</v>
      </c>
      <c r="P115" s="14">
        <v>13.128891864747199</v>
      </c>
      <c r="Q115" s="11">
        <v>113.685067145535</v>
      </c>
      <c r="R115" s="10">
        <v>4.05</v>
      </c>
      <c r="S115" s="10">
        <v>34.67</v>
      </c>
      <c r="T115" s="10">
        <v>2.2599999999999998</v>
      </c>
      <c r="V115" s="9">
        <f t="shared" si="4"/>
        <v>55</v>
      </c>
      <c r="W115" s="9">
        <f t="shared" si="5"/>
        <v>113</v>
      </c>
      <c r="X115">
        <f t="shared" si="6"/>
        <v>4</v>
      </c>
      <c r="Y115">
        <f t="shared" si="7"/>
        <v>0</v>
      </c>
      <c r="Z115">
        <v>114</v>
      </c>
    </row>
    <row r="116" spans="1:26" x14ac:dyDescent="0.2">
      <c r="A116" s="8">
        <v>29</v>
      </c>
      <c r="B116" s="9">
        <v>1121</v>
      </c>
      <c r="C116" s="9">
        <v>3</v>
      </c>
      <c r="D116" s="9">
        <v>3</v>
      </c>
      <c r="E116" s="9">
        <v>1</v>
      </c>
      <c r="F116" s="9">
        <v>2</v>
      </c>
      <c r="G116" t="s">
        <v>122</v>
      </c>
      <c r="H116" s="9">
        <v>7</v>
      </c>
      <c r="I116" s="9">
        <v>21</v>
      </c>
      <c r="J116" s="9">
        <v>116</v>
      </c>
      <c r="K116" s="10">
        <v>33.3333333333333</v>
      </c>
      <c r="L116" s="10">
        <v>6.0344827586206895</v>
      </c>
      <c r="M116" s="10">
        <v>0.44011317195850302</v>
      </c>
      <c r="N116" s="1">
        <v>8.6086479470134496E-6</v>
      </c>
      <c r="O116" s="10">
        <v>5.0650650524092997</v>
      </c>
      <c r="P116" s="14">
        <v>13.711206896551699</v>
      </c>
      <c r="Q116" s="11">
        <v>46.858656522334599</v>
      </c>
      <c r="R116" s="10">
        <v>0.73</v>
      </c>
      <c r="S116" s="10">
        <v>34.67</v>
      </c>
      <c r="T116" s="10">
        <v>2.2599999999999998</v>
      </c>
      <c r="V116" s="9">
        <f t="shared" si="4"/>
        <v>55</v>
      </c>
      <c r="W116" s="9">
        <f t="shared" si="5"/>
        <v>114</v>
      </c>
      <c r="X116">
        <f t="shared" si="6"/>
        <v>4</v>
      </c>
      <c r="Y116">
        <f t="shared" si="7"/>
        <v>0</v>
      </c>
      <c r="Z116">
        <v>115</v>
      </c>
    </row>
    <row r="117" spans="1:26" x14ac:dyDescent="0.2">
      <c r="A117" s="8">
        <v>29</v>
      </c>
      <c r="B117" s="9">
        <v>1121</v>
      </c>
      <c r="C117" s="9">
        <v>3</v>
      </c>
      <c r="D117" s="9">
        <v>3</v>
      </c>
      <c r="E117" s="9">
        <v>1</v>
      </c>
      <c r="F117" s="9">
        <v>3</v>
      </c>
      <c r="G117" t="s">
        <v>123</v>
      </c>
      <c r="H117" s="9">
        <v>5</v>
      </c>
      <c r="I117" s="9">
        <v>8</v>
      </c>
      <c r="J117" s="9">
        <v>127</v>
      </c>
      <c r="K117" s="10">
        <v>62.5</v>
      </c>
      <c r="L117" s="10">
        <v>3.9370078740157401</v>
      </c>
      <c r="M117" s="10">
        <v>9.4637223974763401E-2</v>
      </c>
      <c r="N117" s="1">
        <v>8.0077049213627096E-6</v>
      </c>
      <c r="O117" s="10">
        <v>5.0964919386986898</v>
      </c>
      <c r="P117" s="14">
        <v>41.601049868766403</v>
      </c>
      <c r="Q117" s="11">
        <v>59.449692702000803</v>
      </c>
      <c r="R117" s="10">
        <v>0.28000000000000003</v>
      </c>
      <c r="S117" s="10">
        <v>34.67</v>
      </c>
      <c r="T117" s="10">
        <v>2.2599999999999998</v>
      </c>
      <c r="V117" s="9">
        <f t="shared" si="4"/>
        <v>55</v>
      </c>
      <c r="W117" s="9">
        <f t="shared" si="5"/>
        <v>115</v>
      </c>
      <c r="X117">
        <f t="shared" si="6"/>
        <v>4</v>
      </c>
      <c r="Y117">
        <f t="shared" si="7"/>
        <v>0</v>
      </c>
      <c r="Z117">
        <v>116</v>
      </c>
    </row>
    <row r="118" spans="1:26" x14ac:dyDescent="0.2">
      <c r="A118" s="8">
        <v>30</v>
      </c>
      <c r="B118" s="9">
        <v>9</v>
      </c>
      <c r="C118" s="9">
        <v>2</v>
      </c>
      <c r="D118" s="9">
        <v>2</v>
      </c>
      <c r="E118" s="9">
        <v>1</v>
      </c>
      <c r="F118" s="9">
        <v>1</v>
      </c>
      <c r="G118" t="s">
        <v>95</v>
      </c>
      <c r="H118" s="9">
        <v>9</v>
      </c>
      <c r="I118" s="9">
        <v>36</v>
      </c>
      <c r="J118" s="9">
        <v>109</v>
      </c>
      <c r="K118" s="10">
        <v>25</v>
      </c>
      <c r="L118" s="10">
        <v>8.2568807339449499</v>
      </c>
      <c r="M118" s="10">
        <v>0.84692597239648604</v>
      </c>
      <c r="N118" s="1">
        <v>3.0245943142503001E-6</v>
      </c>
      <c r="O118" s="10">
        <v>5.5193328685810403</v>
      </c>
      <c r="P118" s="14">
        <v>9.7492354740061096</v>
      </c>
      <c r="Q118" s="11">
        <v>46.943227168673403</v>
      </c>
      <c r="R118" s="10">
        <v>12.21</v>
      </c>
      <c r="S118" s="10">
        <v>23.3</v>
      </c>
      <c r="T118" s="10">
        <v>1.52</v>
      </c>
      <c r="V118" s="9">
        <f t="shared" si="4"/>
        <v>56</v>
      </c>
      <c r="W118" s="9">
        <f t="shared" si="5"/>
        <v>116</v>
      </c>
      <c r="X118">
        <f t="shared" si="6"/>
        <v>5</v>
      </c>
      <c r="Y118">
        <f t="shared" si="7"/>
        <v>0</v>
      </c>
      <c r="Z118">
        <v>117</v>
      </c>
    </row>
    <row r="119" spans="1:26" x14ac:dyDescent="0.2">
      <c r="A119" s="8">
        <v>30</v>
      </c>
      <c r="B119" s="9">
        <v>9</v>
      </c>
      <c r="C119" s="9">
        <v>2</v>
      </c>
      <c r="D119" s="9">
        <v>2</v>
      </c>
      <c r="E119" s="9">
        <v>1</v>
      </c>
      <c r="F119" s="9">
        <v>2</v>
      </c>
      <c r="G119" t="s">
        <v>124</v>
      </c>
      <c r="H119" s="9">
        <v>9</v>
      </c>
      <c r="I119" s="9">
        <v>111</v>
      </c>
      <c r="J119" s="9">
        <v>35</v>
      </c>
      <c r="K119" s="10">
        <v>8.1081081081080999</v>
      </c>
      <c r="L119" s="10">
        <v>25.714285714285701</v>
      </c>
      <c r="M119" s="10">
        <v>3.1269160024524805</v>
      </c>
      <c r="N119" s="1">
        <v>2.7241884243017399E-6</v>
      </c>
      <c r="O119" s="10">
        <v>5.5647628568163698</v>
      </c>
      <c r="P119" s="14">
        <v>8.2235294117646998</v>
      </c>
      <c r="Q119" s="11">
        <v>47.583319562925098</v>
      </c>
      <c r="R119" s="10">
        <v>0.37</v>
      </c>
      <c r="S119" s="10">
        <v>23.3</v>
      </c>
      <c r="T119" s="10">
        <v>1.52</v>
      </c>
      <c r="V119" s="9">
        <f t="shared" si="4"/>
        <v>56</v>
      </c>
      <c r="W119" s="9">
        <f t="shared" si="5"/>
        <v>117</v>
      </c>
      <c r="X119">
        <f t="shared" si="6"/>
        <v>5</v>
      </c>
      <c r="Y119">
        <f t="shared" si="7"/>
        <v>0</v>
      </c>
      <c r="Z119">
        <v>118</v>
      </c>
    </row>
    <row r="120" spans="1:26" x14ac:dyDescent="0.2">
      <c r="A120" s="8">
        <v>30</v>
      </c>
      <c r="B120" s="9">
        <v>1599</v>
      </c>
      <c r="C120" s="9">
        <v>2</v>
      </c>
      <c r="D120" s="9">
        <v>2</v>
      </c>
      <c r="E120" s="9">
        <v>1</v>
      </c>
      <c r="F120" s="9">
        <v>1</v>
      </c>
      <c r="G120" t="s">
        <v>125</v>
      </c>
      <c r="H120" s="9">
        <v>4</v>
      </c>
      <c r="I120" s="9">
        <v>49</v>
      </c>
      <c r="J120" s="9">
        <v>6</v>
      </c>
      <c r="K120" s="10">
        <v>8.1632653061224403</v>
      </c>
      <c r="L120" s="10">
        <v>66.6666666666666</v>
      </c>
      <c r="M120" s="10">
        <v>1.36736554238833</v>
      </c>
      <c r="N120" s="1">
        <v>1.26526691648748E-6</v>
      </c>
      <c r="O120" s="10">
        <v>5.8978178475081604</v>
      </c>
      <c r="P120" s="14">
        <v>48.755555555555503</v>
      </c>
      <c r="Q120" s="11">
        <v>132.673826099</v>
      </c>
      <c r="R120" s="10">
        <v>154.37</v>
      </c>
      <c r="S120" s="10">
        <v>18.399999999999999</v>
      </c>
      <c r="T120" s="10">
        <v>1.2</v>
      </c>
      <c r="V120" s="9">
        <f t="shared" si="4"/>
        <v>57</v>
      </c>
      <c r="W120" s="9">
        <f t="shared" si="5"/>
        <v>118</v>
      </c>
      <c r="X120">
        <f t="shared" si="6"/>
        <v>5</v>
      </c>
      <c r="Y120">
        <f t="shared" si="7"/>
        <v>0</v>
      </c>
      <c r="Z120">
        <v>119</v>
      </c>
    </row>
    <row r="121" spans="1:26" x14ac:dyDescent="0.2">
      <c r="A121" s="8">
        <v>30</v>
      </c>
      <c r="B121" s="9">
        <v>1599</v>
      </c>
      <c r="C121" s="9">
        <v>2</v>
      </c>
      <c r="D121" s="9">
        <v>2</v>
      </c>
      <c r="E121" s="9">
        <v>1</v>
      </c>
      <c r="F121" s="9">
        <v>2</v>
      </c>
      <c r="G121" t="s">
        <v>126</v>
      </c>
      <c r="H121" s="9">
        <v>4</v>
      </c>
      <c r="I121" s="9">
        <v>6</v>
      </c>
      <c r="J121" s="9">
        <v>46</v>
      </c>
      <c r="K121" s="10">
        <v>66.6666666666666</v>
      </c>
      <c r="L121" s="10">
        <v>8.6956521739130412</v>
      </c>
      <c r="M121" s="10">
        <v>6.1519532451553297E-2</v>
      </c>
      <c r="N121" s="1">
        <v>9.7593349105500493E-7</v>
      </c>
      <c r="O121" s="10">
        <v>6.0105797780833097</v>
      </c>
      <c r="P121" s="14">
        <v>141.34782608695599</v>
      </c>
      <c r="Q121" s="11">
        <v>141.64842177946599</v>
      </c>
      <c r="R121" s="10">
        <v>5.65</v>
      </c>
      <c r="S121" s="10">
        <v>18.399999999999999</v>
      </c>
      <c r="T121" s="10">
        <v>1.2</v>
      </c>
      <c r="V121" s="9">
        <f t="shared" si="4"/>
        <v>57</v>
      </c>
      <c r="W121" s="9">
        <f t="shared" si="5"/>
        <v>119</v>
      </c>
      <c r="X121">
        <f t="shared" si="6"/>
        <v>5</v>
      </c>
      <c r="Y121">
        <f t="shared" si="7"/>
        <v>0</v>
      </c>
      <c r="Z121">
        <v>120</v>
      </c>
    </row>
    <row r="122" spans="1:26" x14ac:dyDescent="0.2">
      <c r="A122" s="8">
        <v>30</v>
      </c>
      <c r="B122" s="9">
        <v>3609</v>
      </c>
      <c r="C122" s="9">
        <v>2</v>
      </c>
      <c r="D122" s="9">
        <v>2</v>
      </c>
      <c r="E122" s="9">
        <v>1</v>
      </c>
      <c r="F122" s="9">
        <v>1</v>
      </c>
      <c r="G122" t="s">
        <v>127</v>
      </c>
      <c r="H122" s="9">
        <v>4</v>
      </c>
      <c r="I122" s="9">
        <v>84</v>
      </c>
      <c r="J122" s="9">
        <v>5</v>
      </c>
      <c r="K122" s="10">
        <v>4.7619047619047601</v>
      </c>
      <c r="L122" s="10">
        <v>80</v>
      </c>
      <c r="M122" s="10">
        <v>2.4301336573511501</v>
      </c>
      <c r="N122" s="1">
        <v>3.8498818370044802E-6</v>
      </c>
      <c r="O122" s="10">
        <v>5.4145525999264104</v>
      </c>
      <c r="P122" s="14">
        <v>32.92</v>
      </c>
      <c r="Q122" s="11">
        <v>91.763426711814702</v>
      </c>
      <c r="R122" s="10">
        <v>15.54</v>
      </c>
      <c r="S122" s="10">
        <v>24.83</v>
      </c>
      <c r="T122" s="10">
        <v>1.62</v>
      </c>
      <c r="V122" s="9">
        <f t="shared" si="4"/>
        <v>58</v>
      </c>
      <c r="W122" s="9">
        <f t="shared" si="5"/>
        <v>120</v>
      </c>
      <c r="X122">
        <f t="shared" si="6"/>
        <v>5</v>
      </c>
      <c r="Y122">
        <f t="shared" si="7"/>
        <v>0</v>
      </c>
      <c r="Z122">
        <v>121</v>
      </c>
    </row>
    <row r="123" spans="1:26" x14ac:dyDescent="0.2">
      <c r="A123" s="8">
        <v>30</v>
      </c>
      <c r="B123" s="9">
        <v>3609</v>
      </c>
      <c r="C123" s="9">
        <v>2</v>
      </c>
      <c r="D123" s="9">
        <v>2</v>
      </c>
      <c r="E123" s="9">
        <v>1</v>
      </c>
      <c r="F123" s="9">
        <v>2</v>
      </c>
      <c r="G123" t="s">
        <v>128</v>
      </c>
      <c r="H123" s="9">
        <v>4</v>
      </c>
      <c r="I123" s="9">
        <v>5</v>
      </c>
      <c r="J123" s="9">
        <v>83</v>
      </c>
      <c r="K123" s="10">
        <v>80</v>
      </c>
      <c r="L123" s="10">
        <v>4.81927710843373</v>
      </c>
      <c r="M123" s="10">
        <v>3.1113876789047899E-2</v>
      </c>
      <c r="N123" s="1">
        <v>3.6674625365827799E-6</v>
      </c>
      <c r="O123" s="10">
        <v>5.4356343138141803</v>
      </c>
      <c r="P123" s="14">
        <v>154.89156626505999</v>
      </c>
      <c r="Q123" s="11">
        <v>92.9236268547929</v>
      </c>
      <c r="R123" s="10">
        <v>0.45</v>
      </c>
      <c r="S123" s="10">
        <v>24.83</v>
      </c>
      <c r="T123" s="10">
        <v>1.62</v>
      </c>
      <c r="V123" s="9">
        <f t="shared" si="4"/>
        <v>58</v>
      </c>
      <c r="W123" s="9">
        <f t="shared" si="5"/>
        <v>121</v>
      </c>
      <c r="X123">
        <f t="shared" si="6"/>
        <v>5</v>
      </c>
      <c r="Y123">
        <f t="shared" si="7"/>
        <v>0</v>
      </c>
      <c r="Z123">
        <v>122</v>
      </c>
    </row>
    <row r="124" spans="1:26" x14ac:dyDescent="0.2">
      <c r="A124" s="8">
        <v>31</v>
      </c>
      <c r="B124" s="9">
        <v>2396</v>
      </c>
      <c r="C124" s="9">
        <v>2</v>
      </c>
      <c r="D124" s="9">
        <v>2</v>
      </c>
      <c r="E124" s="9">
        <v>1</v>
      </c>
      <c r="F124" s="9">
        <v>1</v>
      </c>
      <c r="G124" t="s">
        <v>129</v>
      </c>
      <c r="H124" s="9">
        <v>4</v>
      </c>
      <c r="I124" s="9">
        <v>9</v>
      </c>
      <c r="J124" s="9">
        <v>33</v>
      </c>
      <c r="K124" s="10">
        <v>44.4444444444444</v>
      </c>
      <c r="L124" s="10">
        <v>12.1212121212121</v>
      </c>
      <c r="M124" s="10">
        <v>0.15318627450980302</v>
      </c>
      <c r="N124" s="1">
        <v>2.0254003585696698E-6</v>
      </c>
      <c r="O124" s="10">
        <v>5.6934891174706497</v>
      </c>
      <c r="P124" s="14">
        <v>79.127272727272697</v>
      </c>
      <c r="Q124" s="11">
        <v>130.739352984259</v>
      </c>
      <c r="R124" s="10">
        <v>1.31</v>
      </c>
      <c r="S124" s="10">
        <v>23.97</v>
      </c>
      <c r="T124" s="10">
        <v>1.56</v>
      </c>
      <c r="V124" s="9">
        <f t="shared" si="4"/>
        <v>59</v>
      </c>
      <c r="W124" s="9">
        <f t="shared" si="5"/>
        <v>122</v>
      </c>
      <c r="X124">
        <f t="shared" si="6"/>
        <v>5</v>
      </c>
      <c r="Y124">
        <f t="shared" si="7"/>
        <v>0</v>
      </c>
      <c r="Z124">
        <v>123</v>
      </c>
    </row>
    <row r="125" spans="1:26" x14ac:dyDescent="0.2">
      <c r="A125" s="8">
        <v>31</v>
      </c>
      <c r="B125" s="9">
        <v>2396</v>
      </c>
      <c r="C125" s="9">
        <v>2</v>
      </c>
      <c r="D125" s="9">
        <v>2</v>
      </c>
      <c r="E125" s="9">
        <v>1</v>
      </c>
      <c r="F125" s="9">
        <v>2</v>
      </c>
      <c r="G125" t="s">
        <v>130</v>
      </c>
      <c r="H125" s="9">
        <v>4</v>
      </c>
      <c r="I125" s="9">
        <v>34</v>
      </c>
      <c r="J125" s="9">
        <v>9</v>
      </c>
      <c r="K125" s="10">
        <v>11.764705882352899</v>
      </c>
      <c r="L125" s="10">
        <v>44.4444444444444</v>
      </c>
      <c r="M125" s="10">
        <v>0.91240875912408703</v>
      </c>
      <c r="N125" s="1">
        <v>2.2926490325707802E-6</v>
      </c>
      <c r="O125" s="10">
        <v>5.6396624236320303</v>
      </c>
      <c r="P125" s="14">
        <v>48.711111111111101</v>
      </c>
      <c r="Q125" s="11">
        <v>126.72981978639901</v>
      </c>
      <c r="R125" s="10">
        <v>1.27</v>
      </c>
      <c r="S125" s="10">
        <v>23.97</v>
      </c>
      <c r="T125" s="10">
        <v>1.56</v>
      </c>
      <c r="V125" s="9">
        <f t="shared" si="4"/>
        <v>59</v>
      </c>
      <c r="W125" s="9">
        <f t="shared" si="5"/>
        <v>123</v>
      </c>
      <c r="X125">
        <f t="shared" si="6"/>
        <v>5</v>
      </c>
      <c r="Y125">
        <f t="shared" si="7"/>
        <v>0</v>
      </c>
      <c r="Z125">
        <v>124</v>
      </c>
    </row>
    <row r="126" spans="1:26" x14ac:dyDescent="0.2">
      <c r="A126" s="8">
        <v>32</v>
      </c>
      <c r="B126" s="9">
        <v>1698</v>
      </c>
      <c r="C126" s="9">
        <v>2</v>
      </c>
      <c r="D126" s="9">
        <v>2</v>
      </c>
      <c r="E126" s="9">
        <v>1</v>
      </c>
      <c r="F126" s="9">
        <v>1</v>
      </c>
      <c r="G126" t="s">
        <v>131</v>
      </c>
      <c r="H126" s="9">
        <v>4</v>
      </c>
      <c r="I126" s="9">
        <v>53</v>
      </c>
      <c r="J126" s="9">
        <v>7</v>
      </c>
      <c r="K126" s="10">
        <v>7.5471698113207504</v>
      </c>
      <c r="L126" s="10">
        <v>57.142857142857096</v>
      </c>
      <c r="M126" s="10">
        <v>1.48936170212765</v>
      </c>
      <c r="N126" s="1">
        <v>4.0237739011931299E-6</v>
      </c>
      <c r="O126" s="10">
        <v>5.3953664305920102</v>
      </c>
      <c r="P126" s="14">
        <v>38.367346938775498</v>
      </c>
      <c r="Q126" s="11">
        <v>103.86231325806099</v>
      </c>
      <c r="R126" s="10">
        <v>19.579999999999998</v>
      </c>
      <c r="S126" s="10">
        <v>20.75</v>
      </c>
      <c r="T126" s="10">
        <v>1.35</v>
      </c>
      <c r="V126" s="9">
        <f t="shared" si="4"/>
        <v>60</v>
      </c>
      <c r="W126" s="9">
        <f t="shared" si="5"/>
        <v>124</v>
      </c>
      <c r="X126">
        <f t="shared" si="6"/>
        <v>5</v>
      </c>
      <c r="Y126">
        <f t="shared" si="7"/>
        <v>0</v>
      </c>
      <c r="Z126">
        <v>125</v>
      </c>
    </row>
    <row r="127" spans="1:26" x14ac:dyDescent="0.2">
      <c r="A127" s="8">
        <v>32</v>
      </c>
      <c r="B127" s="9">
        <v>1698</v>
      </c>
      <c r="C127" s="9">
        <v>2</v>
      </c>
      <c r="D127" s="9">
        <v>2</v>
      </c>
      <c r="E127" s="9">
        <v>1</v>
      </c>
      <c r="F127" s="9">
        <v>2</v>
      </c>
      <c r="G127" t="s">
        <v>132</v>
      </c>
      <c r="H127" s="9">
        <v>4</v>
      </c>
      <c r="I127" s="9">
        <v>7</v>
      </c>
      <c r="J127" s="9">
        <v>53</v>
      </c>
      <c r="K127" s="10">
        <v>57.142857142857096</v>
      </c>
      <c r="L127" s="10">
        <v>7.5471698113207504</v>
      </c>
      <c r="M127" s="10">
        <v>9.2478421701602892E-2</v>
      </c>
      <c r="N127" s="1">
        <v>4.0237739011931197E-6</v>
      </c>
      <c r="O127" s="10">
        <v>5.3953664305920102</v>
      </c>
      <c r="P127" s="14">
        <v>81.610062893081704</v>
      </c>
      <c r="Q127" s="11">
        <v>103.86231325806099</v>
      </c>
      <c r="R127" s="10">
        <v>105.47</v>
      </c>
      <c r="S127" s="10">
        <v>20.75</v>
      </c>
      <c r="T127" s="10">
        <v>1.35</v>
      </c>
      <c r="V127" s="9">
        <f t="shared" si="4"/>
        <v>60</v>
      </c>
      <c r="W127" s="9">
        <f t="shared" si="5"/>
        <v>125</v>
      </c>
      <c r="X127">
        <f t="shared" si="6"/>
        <v>5</v>
      </c>
      <c r="Y127">
        <f t="shared" si="7"/>
        <v>0</v>
      </c>
      <c r="Z127">
        <v>126</v>
      </c>
    </row>
    <row r="128" spans="1:26" x14ac:dyDescent="0.2">
      <c r="A128" s="8">
        <v>35</v>
      </c>
      <c r="B128" s="9">
        <v>1032</v>
      </c>
      <c r="C128" s="9">
        <v>2</v>
      </c>
      <c r="D128" s="9">
        <v>2</v>
      </c>
      <c r="E128" s="9">
        <v>1</v>
      </c>
      <c r="F128" s="9">
        <v>1</v>
      </c>
      <c r="G128" t="s">
        <v>133</v>
      </c>
      <c r="H128" s="9">
        <v>5</v>
      </c>
      <c r="I128" s="9">
        <v>15</v>
      </c>
      <c r="J128" s="9">
        <v>48</v>
      </c>
      <c r="K128" s="10">
        <v>33.3333333333333</v>
      </c>
      <c r="L128" s="10">
        <v>10.4166666666666</v>
      </c>
      <c r="M128" s="10">
        <v>0.30778701138811898</v>
      </c>
      <c r="N128" s="1">
        <v>2.8480712202901102E-6</v>
      </c>
      <c r="O128" s="10">
        <v>5.5454491547148601</v>
      </c>
      <c r="P128" s="14">
        <v>33.84375</v>
      </c>
      <c r="Q128" s="11">
        <v>85.576048236857304</v>
      </c>
      <c r="R128" s="10">
        <v>0.57999999999999996</v>
      </c>
      <c r="S128" s="10">
        <v>25.1</v>
      </c>
      <c r="T128" s="10">
        <v>1.64</v>
      </c>
      <c r="V128" s="9">
        <f t="shared" si="4"/>
        <v>61</v>
      </c>
      <c r="W128" s="9">
        <f t="shared" si="5"/>
        <v>126</v>
      </c>
      <c r="X128">
        <f t="shared" si="6"/>
        <v>5</v>
      </c>
      <c r="Y128">
        <f t="shared" si="7"/>
        <v>0</v>
      </c>
      <c r="Z128">
        <v>127</v>
      </c>
    </row>
    <row r="129" spans="1:26" x14ac:dyDescent="0.2">
      <c r="A129" s="8">
        <v>35</v>
      </c>
      <c r="B129" s="9">
        <v>1032</v>
      </c>
      <c r="C129" s="9">
        <v>2</v>
      </c>
      <c r="D129" s="9">
        <v>2</v>
      </c>
      <c r="E129" s="9">
        <v>1</v>
      </c>
      <c r="F129" s="9">
        <v>2</v>
      </c>
      <c r="G129" t="s">
        <v>134</v>
      </c>
      <c r="H129" s="9">
        <v>5</v>
      </c>
      <c r="I129" s="9">
        <v>50</v>
      </c>
      <c r="J129" s="9">
        <v>15</v>
      </c>
      <c r="K129" s="10">
        <v>10</v>
      </c>
      <c r="L129" s="10">
        <v>33.3333333333333</v>
      </c>
      <c r="M129" s="10">
        <v>1.3711151736745799</v>
      </c>
      <c r="N129" s="1">
        <v>3.5061638313288201E-6</v>
      </c>
      <c r="O129" s="10">
        <v>5.4551677946370498</v>
      </c>
      <c r="P129" s="14">
        <v>24.311111111111099</v>
      </c>
      <c r="Q129" s="11">
        <v>81.854586249210996</v>
      </c>
      <c r="R129" s="10">
        <v>1.2</v>
      </c>
      <c r="S129" s="10">
        <v>25.1</v>
      </c>
      <c r="T129" s="10">
        <v>1.64</v>
      </c>
      <c r="V129" s="9">
        <f t="shared" si="4"/>
        <v>61</v>
      </c>
      <c r="W129" s="9">
        <f t="shared" si="5"/>
        <v>127</v>
      </c>
      <c r="X129">
        <f t="shared" si="6"/>
        <v>5</v>
      </c>
      <c r="Y129">
        <f t="shared" si="7"/>
        <v>0</v>
      </c>
      <c r="Z129">
        <v>128</v>
      </c>
    </row>
    <row r="130" spans="1:26" x14ac:dyDescent="0.2">
      <c r="A130" s="8">
        <v>35</v>
      </c>
      <c r="B130" s="9">
        <v>1667</v>
      </c>
      <c r="C130" s="9">
        <v>2</v>
      </c>
      <c r="D130" s="9">
        <v>2</v>
      </c>
      <c r="E130" s="9">
        <v>1</v>
      </c>
      <c r="F130" s="9">
        <v>1</v>
      </c>
      <c r="G130" t="s">
        <v>135</v>
      </c>
      <c r="H130" s="9">
        <v>4</v>
      </c>
      <c r="I130" s="9">
        <v>19</v>
      </c>
      <c r="J130" s="9">
        <v>18</v>
      </c>
      <c r="K130" s="10">
        <v>21.052631578947299</v>
      </c>
      <c r="L130" s="10">
        <v>22.2222222222222</v>
      </c>
      <c r="M130" s="10">
        <v>0.45745654162854499</v>
      </c>
      <c r="N130" s="1">
        <v>4.5861667727826504E-6</v>
      </c>
      <c r="O130" s="10">
        <v>5.33855015650047</v>
      </c>
      <c r="P130" s="14">
        <v>48.577777777777698</v>
      </c>
      <c r="Q130" s="11">
        <v>112.456514149349</v>
      </c>
      <c r="R130" s="10">
        <v>0.73</v>
      </c>
      <c r="S130" s="10">
        <v>19.579999999999998</v>
      </c>
      <c r="T130" s="10">
        <v>1.28</v>
      </c>
      <c r="V130" s="9">
        <f t="shared" si="4"/>
        <v>62</v>
      </c>
      <c r="W130" s="9">
        <f t="shared" si="5"/>
        <v>128</v>
      </c>
      <c r="X130">
        <f t="shared" si="6"/>
        <v>5</v>
      </c>
      <c r="Y130">
        <f t="shared" si="7"/>
        <v>0</v>
      </c>
      <c r="Z130">
        <v>129</v>
      </c>
    </row>
    <row r="131" spans="1:26" x14ac:dyDescent="0.2">
      <c r="A131" s="8">
        <v>35</v>
      </c>
      <c r="B131" s="9">
        <v>1667</v>
      </c>
      <c r="C131" s="9">
        <v>2</v>
      </c>
      <c r="D131" s="9">
        <v>2</v>
      </c>
      <c r="E131" s="9">
        <v>1</v>
      </c>
      <c r="F131" s="9">
        <v>2</v>
      </c>
      <c r="G131" t="s">
        <v>136</v>
      </c>
      <c r="H131" s="9">
        <v>4</v>
      </c>
      <c r="I131" s="9">
        <v>18</v>
      </c>
      <c r="J131" s="9">
        <v>19</v>
      </c>
      <c r="K131" s="10">
        <v>22.2222222222222</v>
      </c>
      <c r="L131" s="10">
        <v>21.052631578947299</v>
      </c>
      <c r="M131" s="10">
        <v>0.42708968883465498</v>
      </c>
      <c r="N131" s="1">
        <v>4.5861667727826504E-6</v>
      </c>
      <c r="O131" s="10">
        <v>5.33855015650047</v>
      </c>
      <c r="P131" s="14">
        <v>49.293233082706699</v>
      </c>
      <c r="Q131" s="11">
        <v>112.456514149349</v>
      </c>
      <c r="R131" s="10">
        <v>0.43</v>
      </c>
      <c r="S131" s="10">
        <v>19.579999999999998</v>
      </c>
      <c r="T131" s="10">
        <v>1.28</v>
      </c>
      <c r="V131" s="9">
        <f t="shared" ref="V131:V194" si="8">IF(B131&lt;&gt;B130,V130+1,V130)</f>
        <v>62</v>
      </c>
      <c r="W131" s="9">
        <f t="shared" ref="W131:W194" si="9">IF(F131&lt;&gt;F130,W130+1,W130)</f>
        <v>129</v>
      </c>
      <c r="X131">
        <f t="shared" si="6"/>
        <v>5</v>
      </c>
      <c r="Y131">
        <f t="shared" si="7"/>
        <v>0</v>
      </c>
      <c r="Z131">
        <v>130</v>
      </c>
    </row>
    <row r="132" spans="1:26" x14ac:dyDescent="0.2">
      <c r="A132" s="8">
        <v>36</v>
      </c>
      <c r="B132" s="9">
        <v>379</v>
      </c>
      <c r="C132" s="9">
        <v>2</v>
      </c>
      <c r="D132" s="9">
        <v>2</v>
      </c>
      <c r="E132" s="9">
        <v>1</v>
      </c>
      <c r="F132" s="9">
        <v>1</v>
      </c>
      <c r="G132" t="s">
        <v>137</v>
      </c>
      <c r="H132" s="9">
        <v>4</v>
      </c>
      <c r="I132" s="9">
        <v>17</v>
      </c>
      <c r="J132" s="9">
        <v>22</v>
      </c>
      <c r="K132" s="10">
        <v>23.529411764705799</v>
      </c>
      <c r="L132" s="10">
        <v>18.181818181818098</v>
      </c>
      <c r="M132" s="10">
        <v>0.39694656488549601</v>
      </c>
      <c r="N132" s="1">
        <v>6.6925907789999803E-6</v>
      </c>
      <c r="O132" s="10">
        <v>5.1744057292853798</v>
      </c>
      <c r="P132" s="14">
        <v>45.8041958041958</v>
      </c>
      <c r="Q132" s="11">
        <v>102.31010931509</v>
      </c>
      <c r="R132" s="10">
        <v>12.81</v>
      </c>
      <c r="S132" s="10">
        <v>26.03</v>
      </c>
      <c r="T132" s="10">
        <v>1.7</v>
      </c>
      <c r="V132" s="9">
        <f t="shared" si="8"/>
        <v>63</v>
      </c>
      <c r="W132" s="9">
        <f t="shared" si="9"/>
        <v>130</v>
      </c>
      <c r="X132">
        <f t="shared" ref="X132:X195" si="10">IF(AND(B132&lt;&gt;B131,D131&gt;2),X131+1,X131)</f>
        <v>5</v>
      </c>
      <c r="Y132">
        <f t="shared" ref="Y132:Y195" si="11">IF(AND(B132&lt;&gt;B131,D131&gt;3),Y131+1,Y131)</f>
        <v>0</v>
      </c>
      <c r="Z132">
        <v>131</v>
      </c>
    </row>
    <row r="133" spans="1:26" x14ac:dyDescent="0.2">
      <c r="A133" s="8">
        <v>36</v>
      </c>
      <c r="B133" s="9">
        <v>379</v>
      </c>
      <c r="C133" s="9">
        <v>2</v>
      </c>
      <c r="D133" s="9">
        <v>2</v>
      </c>
      <c r="E133" s="9">
        <v>1</v>
      </c>
      <c r="F133" s="9">
        <v>2</v>
      </c>
      <c r="G133" t="s">
        <v>138</v>
      </c>
      <c r="H133" s="9">
        <v>4</v>
      </c>
      <c r="I133" s="9">
        <v>24</v>
      </c>
      <c r="J133" s="9">
        <v>16</v>
      </c>
      <c r="K133" s="10">
        <v>16.6666666666666</v>
      </c>
      <c r="L133" s="10">
        <v>25</v>
      </c>
      <c r="M133" s="10">
        <v>0.60957025297165501</v>
      </c>
      <c r="N133" s="1">
        <v>7.4234715978840597E-6</v>
      </c>
      <c r="O133" s="10">
        <v>5.1293929487356102</v>
      </c>
      <c r="P133" s="14">
        <v>41.012500000000003</v>
      </c>
      <c r="Q133" s="11">
        <v>99.497820623638404</v>
      </c>
      <c r="R133" s="10">
        <v>0.65</v>
      </c>
      <c r="S133" s="10">
        <v>26.03</v>
      </c>
      <c r="T133" s="10">
        <v>1.7</v>
      </c>
      <c r="V133" s="9">
        <f t="shared" si="8"/>
        <v>63</v>
      </c>
      <c r="W133" s="9">
        <f t="shared" si="9"/>
        <v>131</v>
      </c>
      <c r="X133">
        <f t="shared" si="10"/>
        <v>5</v>
      </c>
      <c r="Y133">
        <f t="shared" si="11"/>
        <v>0</v>
      </c>
      <c r="Z133">
        <v>132</v>
      </c>
    </row>
    <row r="134" spans="1:26" x14ac:dyDescent="0.2">
      <c r="A134" s="8">
        <v>36</v>
      </c>
      <c r="B134" s="9">
        <v>1819</v>
      </c>
      <c r="C134" s="9">
        <v>3</v>
      </c>
      <c r="D134" s="9">
        <v>3</v>
      </c>
      <c r="E134" s="9">
        <v>1</v>
      </c>
      <c r="F134" s="9">
        <v>1</v>
      </c>
      <c r="G134" t="s">
        <v>139</v>
      </c>
      <c r="H134" s="9">
        <v>2</v>
      </c>
      <c r="I134" s="9">
        <v>2</v>
      </c>
      <c r="J134" s="9">
        <v>5</v>
      </c>
      <c r="K134" s="10">
        <v>100</v>
      </c>
      <c r="L134" s="10">
        <v>40</v>
      </c>
      <c r="M134" s="10">
        <v>0</v>
      </c>
      <c r="N134" s="1">
        <v>3.6808984925984502E-6</v>
      </c>
      <c r="O134" s="10">
        <v>5.4340461588402604</v>
      </c>
      <c r="P134" s="14" t="s">
        <v>116</v>
      </c>
      <c r="Q134" s="11">
        <v>740.39932502253998</v>
      </c>
      <c r="R134" s="10">
        <v>0.41</v>
      </c>
      <c r="S134" s="10">
        <v>25.25</v>
      </c>
      <c r="T134" s="10">
        <v>1.64</v>
      </c>
      <c r="V134" s="9">
        <f t="shared" si="8"/>
        <v>64</v>
      </c>
      <c r="W134" s="9">
        <f t="shared" si="9"/>
        <v>132</v>
      </c>
      <c r="X134">
        <f t="shared" si="10"/>
        <v>5</v>
      </c>
      <c r="Y134">
        <f t="shared" si="11"/>
        <v>0</v>
      </c>
      <c r="Z134">
        <v>133</v>
      </c>
    </row>
    <row r="135" spans="1:26" x14ac:dyDescent="0.2">
      <c r="A135" s="8">
        <v>36</v>
      </c>
      <c r="B135" s="9">
        <v>1819</v>
      </c>
      <c r="C135" s="9">
        <v>3</v>
      </c>
      <c r="D135" s="9">
        <v>3</v>
      </c>
      <c r="E135" s="9">
        <v>1</v>
      </c>
      <c r="F135" s="9">
        <v>2</v>
      </c>
      <c r="G135" t="s">
        <v>140</v>
      </c>
      <c r="H135" s="9">
        <v>4</v>
      </c>
      <c r="I135" s="9">
        <v>4</v>
      </c>
      <c r="J135" s="9">
        <v>5</v>
      </c>
      <c r="K135" s="10">
        <v>100</v>
      </c>
      <c r="L135" s="10">
        <v>80</v>
      </c>
      <c r="M135" s="10">
        <v>0</v>
      </c>
      <c r="N135" s="1">
        <v>2.03482037563037E-12</v>
      </c>
      <c r="O135" s="10">
        <v>11.6914739222203</v>
      </c>
      <c r="P135" s="14" t="s">
        <v>141</v>
      </c>
      <c r="Q135" s="11">
        <v>2017.92328817936</v>
      </c>
      <c r="R135" s="10">
        <v>3.77</v>
      </c>
      <c r="S135" s="10">
        <v>25.25</v>
      </c>
      <c r="T135" s="10">
        <v>1.64</v>
      </c>
      <c r="V135" s="9">
        <f t="shared" si="8"/>
        <v>64</v>
      </c>
      <c r="W135" s="9">
        <f t="shared" si="9"/>
        <v>133</v>
      </c>
      <c r="X135">
        <f t="shared" si="10"/>
        <v>5</v>
      </c>
      <c r="Y135">
        <f t="shared" si="11"/>
        <v>0</v>
      </c>
      <c r="Z135">
        <v>134</v>
      </c>
    </row>
    <row r="136" spans="1:26" x14ac:dyDescent="0.2">
      <c r="A136" s="8">
        <v>36</v>
      </c>
      <c r="B136" s="9">
        <v>1819</v>
      </c>
      <c r="C136" s="9">
        <v>3</v>
      </c>
      <c r="D136" s="9">
        <v>3</v>
      </c>
      <c r="E136" s="9">
        <v>1</v>
      </c>
      <c r="F136" s="9">
        <v>3</v>
      </c>
      <c r="G136" t="s">
        <v>142</v>
      </c>
      <c r="H136" s="9">
        <v>2</v>
      </c>
      <c r="I136" s="9">
        <v>3</v>
      </c>
      <c r="J136" s="9">
        <v>4</v>
      </c>
      <c r="K136" s="10">
        <v>66.6666666666666</v>
      </c>
      <c r="L136" s="10">
        <v>50</v>
      </c>
      <c r="M136" s="10">
        <v>3.0367446097783097E-2</v>
      </c>
      <c r="N136" s="1">
        <v>6.6229362073502899E-6</v>
      </c>
      <c r="O136" s="10">
        <v>5.1789494280920403</v>
      </c>
      <c r="P136" s="14">
        <v>1646.49999999999</v>
      </c>
      <c r="Q136" s="11">
        <v>616.49937496784798</v>
      </c>
      <c r="R136" s="10">
        <v>103.97</v>
      </c>
      <c r="S136" s="10">
        <v>25.25</v>
      </c>
      <c r="T136" s="10">
        <v>1.64</v>
      </c>
      <c r="V136" s="9">
        <f t="shared" si="8"/>
        <v>64</v>
      </c>
      <c r="W136" s="9">
        <f t="shared" si="9"/>
        <v>134</v>
      </c>
      <c r="X136">
        <f t="shared" si="10"/>
        <v>5</v>
      </c>
      <c r="Y136">
        <f t="shared" si="11"/>
        <v>0</v>
      </c>
      <c r="Z136">
        <v>135</v>
      </c>
    </row>
    <row r="137" spans="1:26" x14ac:dyDescent="0.2">
      <c r="A137" s="8">
        <v>36</v>
      </c>
      <c r="B137" s="9">
        <v>2445</v>
      </c>
      <c r="C137" s="9">
        <v>2</v>
      </c>
      <c r="D137" s="9">
        <v>2</v>
      </c>
      <c r="E137" s="9">
        <v>1</v>
      </c>
      <c r="F137" s="9">
        <v>1</v>
      </c>
      <c r="G137" t="s">
        <v>143</v>
      </c>
      <c r="H137" s="9">
        <v>7</v>
      </c>
      <c r="I137" s="9">
        <v>23</v>
      </c>
      <c r="J137" s="9">
        <v>101</v>
      </c>
      <c r="K137" s="10">
        <v>30.434782608695599</v>
      </c>
      <c r="L137" s="10">
        <v>6.9306930693069297</v>
      </c>
      <c r="M137" s="10">
        <v>0.50062578222778398</v>
      </c>
      <c r="N137" s="1">
        <v>6.7395520788046701E-6</v>
      </c>
      <c r="O137" s="10">
        <v>5.1713689663975702</v>
      </c>
      <c r="P137" s="14">
        <v>13.8440594059405</v>
      </c>
      <c r="Q137" s="11">
        <v>49.521298993083697</v>
      </c>
      <c r="R137" s="10">
        <v>54.59</v>
      </c>
      <c r="S137" s="10">
        <v>22.44</v>
      </c>
      <c r="T137" s="10">
        <v>1.46</v>
      </c>
      <c r="V137" s="9">
        <f t="shared" si="8"/>
        <v>65</v>
      </c>
      <c r="W137" s="9">
        <f t="shared" si="9"/>
        <v>135</v>
      </c>
      <c r="X137">
        <f t="shared" si="10"/>
        <v>6</v>
      </c>
      <c r="Y137">
        <f t="shared" si="11"/>
        <v>0</v>
      </c>
      <c r="Z137">
        <v>136</v>
      </c>
    </row>
    <row r="138" spans="1:26" x14ac:dyDescent="0.2">
      <c r="A138" s="8">
        <v>36</v>
      </c>
      <c r="B138" s="9">
        <v>2445</v>
      </c>
      <c r="C138" s="9">
        <v>2</v>
      </c>
      <c r="D138" s="9">
        <v>2</v>
      </c>
      <c r="E138" s="9">
        <v>1</v>
      </c>
      <c r="F138" s="9">
        <v>2</v>
      </c>
      <c r="G138" t="s">
        <v>5</v>
      </c>
      <c r="H138" s="9">
        <v>7</v>
      </c>
      <c r="I138" s="9">
        <v>101</v>
      </c>
      <c r="J138" s="9">
        <v>23</v>
      </c>
      <c r="K138" s="10">
        <v>6.9306930693069297</v>
      </c>
      <c r="L138" s="10">
        <v>30.434782608695599</v>
      </c>
      <c r="M138" s="10">
        <v>2.8711056811239999</v>
      </c>
      <c r="N138" s="1">
        <v>6.7395520788046803E-6</v>
      </c>
      <c r="O138" s="10">
        <v>5.1713689663975702</v>
      </c>
      <c r="P138" s="14">
        <v>10.600370027752</v>
      </c>
      <c r="Q138" s="11">
        <v>49.521298993083697</v>
      </c>
      <c r="R138" s="10">
        <v>4.0199999999999996</v>
      </c>
      <c r="S138" s="10">
        <v>22.44</v>
      </c>
      <c r="T138" s="10">
        <v>1.46</v>
      </c>
      <c r="V138" s="9">
        <f t="shared" si="8"/>
        <v>65</v>
      </c>
      <c r="W138" s="9">
        <f t="shared" si="9"/>
        <v>136</v>
      </c>
      <c r="X138">
        <f t="shared" si="10"/>
        <v>6</v>
      </c>
      <c r="Y138">
        <f t="shared" si="11"/>
        <v>0</v>
      </c>
      <c r="Z138">
        <v>137</v>
      </c>
    </row>
    <row r="139" spans="1:26" x14ac:dyDescent="0.2">
      <c r="A139" s="8">
        <v>37</v>
      </c>
      <c r="B139" s="9">
        <v>1133</v>
      </c>
      <c r="C139" s="9">
        <v>2</v>
      </c>
      <c r="D139" s="9">
        <v>2</v>
      </c>
      <c r="E139" s="9">
        <v>1</v>
      </c>
      <c r="F139" s="9">
        <v>1</v>
      </c>
      <c r="G139" t="s">
        <v>144</v>
      </c>
      <c r="H139" s="9">
        <v>5</v>
      </c>
      <c r="I139" s="9">
        <v>7</v>
      </c>
      <c r="J139" s="9">
        <v>137</v>
      </c>
      <c r="K139" s="10">
        <v>71.428571428571402</v>
      </c>
      <c r="L139" s="10">
        <v>3.6496350364963499</v>
      </c>
      <c r="M139" s="10">
        <v>6.3291139240506292E-2</v>
      </c>
      <c r="N139" s="1">
        <v>4.5291188986794798E-6</v>
      </c>
      <c r="O139" s="10">
        <v>5.3439862780446603</v>
      </c>
      <c r="P139" s="14">
        <v>57.664233576642303</v>
      </c>
      <c r="Q139" s="11">
        <v>63.685392742455399</v>
      </c>
      <c r="R139" s="10">
        <v>7.68</v>
      </c>
      <c r="S139" s="10">
        <v>21.19</v>
      </c>
      <c r="T139" s="10">
        <v>1.38</v>
      </c>
      <c r="V139" s="9">
        <f t="shared" si="8"/>
        <v>66</v>
      </c>
      <c r="W139" s="9">
        <f t="shared" si="9"/>
        <v>137</v>
      </c>
      <c r="X139">
        <f t="shared" si="10"/>
        <v>6</v>
      </c>
      <c r="Y139">
        <f t="shared" si="11"/>
        <v>0</v>
      </c>
      <c r="Z139">
        <v>138</v>
      </c>
    </row>
    <row r="140" spans="1:26" x14ac:dyDescent="0.2">
      <c r="A140" s="8">
        <v>37</v>
      </c>
      <c r="B140" s="9">
        <v>1133</v>
      </c>
      <c r="C140" s="9">
        <v>2</v>
      </c>
      <c r="D140" s="9">
        <v>2</v>
      </c>
      <c r="E140" s="9">
        <v>1</v>
      </c>
      <c r="F140" s="9">
        <v>2</v>
      </c>
      <c r="G140" t="s">
        <v>12</v>
      </c>
      <c r="H140" s="9">
        <v>5</v>
      </c>
      <c r="I140" s="9">
        <v>140</v>
      </c>
      <c r="J140" s="9">
        <v>7</v>
      </c>
      <c r="K140" s="10">
        <v>3.5714285714285698</v>
      </c>
      <c r="L140" s="10">
        <v>71.428571428571402</v>
      </c>
      <c r="M140" s="10">
        <v>4.1033434650455902</v>
      </c>
      <c r="N140" s="1">
        <v>5.0473492867473704E-6</v>
      </c>
      <c r="O140" s="10">
        <v>5.2969366401725697</v>
      </c>
      <c r="P140" s="14">
        <v>17.407407407407401</v>
      </c>
      <c r="Q140" s="11">
        <v>62.1912783395898</v>
      </c>
      <c r="R140" s="10">
        <v>5.58</v>
      </c>
      <c r="S140" s="10">
        <v>21.19</v>
      </c>
      <c r="T140" s="10">
        <v>1.38</v>
      </c>
      <c r="V140" s="9">
        <f t="shared" si="8"/>
        <v>66</v>
      </c>
      <c r="W140" s="9">
        <f t="shared" si="9"/>
        <v>138</v>
      </c>
      <c r="X140">
        <f t="shared" si="10"/>
        <v>6</v>
      </c>
      <c r="Y140">
        <f t="shared" si="11"/>
        <v>0</v>
      </c>
      <c r="Z140">
        <v>139</v>
      </c>
    </row>
    <row r="141" spans="1:26" x14ac:dyDescent="0.2">
      <c r="A141" s="8">
        <v>37</v>
      </c>
      <c r="B141" s="9">
        <v>2384</v>
      </c>
      <c r="C141" s="9">
        <v>2</v>
      </c>
      <c r="D141" s="9">
        <v>2</v>
      </c>
      <c r="E141" s="9">
        <v>1</v>
      </c>
      <c r="F141" s="9">
        <v>1</v>
      </c>
      <c r="G141" t="s">
        <v>145</v>
      </c>
      <c r="H141" s="9">
        <v>5</v>
      </c>
      <c r="I141" s="9">
        <v>5</v>
      </c>
      <c r="J141" s="9">
        <v>213</v>
      </c>
      <c r="K141" s="10">
        <v>100</v>
      </c>
      <c r="L141" s="10">
        <v>2.3474178403755803</v>
      </c>
      <c r="M141" s="10">
        <v>0</v>
      </c>
      <c r="N141" s="1">
        <v>2.1533598018084101E-6</v>
      </c>
      <c r="O141" s="10">
        <v>5.6668833984697597</v>
      </c>
      <c r="P141" s="14" t="s">
        <v>146</v>
      </c>
      <c r="Q141" s="11">
        <v>57.830591764789098</v>
      </c>
      <c r="R141" s="10">
        <v>133.29</v>
      </c>
      <c r="S141" s="10">
        <v>21.4</v>
      </c>
      <c r="T141" s="10">
        <v>1.39</v>
      </c>
      <c r="V141" s="9">
        <f t="shared" si="8"/>
        <v>67</v>
      </c>
      <c r="W141" s="9">
        <f t="shared" si="9"/>
        <v>139</v>
      </c>
      <c r="X141">
        <f t="shared" si="10"/>
        <v>6</v>
      </c>
      <c r="Y141">
        <f t="shared" si="11"/>
        <v>0</v>
      </c>
      <c r="Z141">
        <v>140</v>
      </c>
    </row>
    <row r="142" spans="1:26" x14ac:dyDescent="0.2">
      <c r="A142" s="8">
        <v>37</v>
      </c>
      <c r="B142" s="9">
        <v>2384</v>
      </c>
      <c r="C142" s="9">
        <v>2</v>
      </c>
      <c r="D142" s="9">
        <v>2</v>
      </c>
      <c r="E142" s="9">
        <v>1</v>
      </c>
      <c r="F142" s="9">
        <v>2</v>
      </c>
      <c r="G142" t="s">
        <v>147</v>
      </c>
      <c r="H142" s="9">
        <v>5</v>
      </c>
      <c r="I142" s="9">
        <v>214</v>
      </c>
      <c r="J142" s="9">
        <v>5</v>
      </c>
      <c r="K142" s="10">
        <v>2.3364485981308398</v>
      </c>
      <c r="L142" s="10">
        <v>100</v>
      </c>
      <c r="M142" s="10">
        <v>6.3487241798298903</v>
      </c>
      <c r="N142" s="1">
        <v>2.20487558654067E-6</v>
      </c>
      <c r="O142" s="10">
        <v>5.6566159112316301</v>
      </c>
      <c r="P142" s="14">
        <v>15.7511961722488</v>
      </c>
      <c r="Q142" s="11">
        <v>57.5372229075302</v>
      </c>
      <c r="R142" s="10">
        <v>5.17</v>
      </c>
      <c r="S142" s="10">
        <v>21.4</v>
      </c>
      <c r="T142" s="10">
        <v>1.39</v>
      </c>
      <c r="V142" s="9">
        <f t="shared" si="8"/>
        <v>67</v>
      </c>
      <c r="W142" s="9">
        <f t="shared" si="9"/>
        <v>140</v>
      </c>
      <c r="X142">
        <f t="shared" si="10"/>
        <v>6</v>
      </c>
      <c r="Y142">
        <f t="shared" si="11"/>
        <v>0</v>
      </c>
      <c r="Z142">
        <v>141</v>
      </c>
    </row>
    <row r="143" spans="1:26" x14ac:dyDescent="0.2">
      <c r="A143" s="8">
        <v>38</v>
      </c>
      <c r="B143" s="9">
        <v>1218</v>
      </c>
      <c r="C143" s="9">
        <v>2</v>
      </c>
      <c r="D143" s="9">
        <v>2</v>
      </c>
      <c r="E143" s="9">
        <v>1</v>
      </c>
      <c r="F143" s="9">
        <v>1</v>
      </c>
      <c r="G143" t="s">
        <v>148</v>
      </c>
      <c r="H143" s="9">
        <v>4</v>
      </c>
      <c r="I143" s="9">
        <v>105</v>
      </c>
      <c r="J143" s="9">
        <v>4</v>
      </c>
      <c r="K143" s="10">
        <v>3.8095238095238098</v>
      </c>
      <c r="L143" s="10">
        <v>100</v>
      </c>
      <c r="M143" s="10">
        <v>3.0671120558761</v>
      </c>
      <c r="N143" s="1">
        <v>1.9453818808399102E-6</v>
      </c>
      <c r="O143" s="10">
        <v>5.7109951334322</v>
      </c>
      <c r="P143" s="14">
        <v>32.603960396039597</v>
      </c>
      <c r="Q143" s="11">
        <v>92.339083927030202</v>
      </c>
      <c r="R143" s="10">
        <v>26.78</v>
      </c>
      <c r="S143" s="10">
        <v>23.38</v>
      </c>
      <c r="T143" s="10">
        <v>1.52</v>
      </c>
      <c r="V143" s="9">
        <f t="shared" si="8"/>
        <v>68</v>
      </c>
      <c r="W143" s="9">
        <f t="shared" si="9"/>
        <v>141</v>
      </c>
      <c r="X143">
        <f t="shared" si="10"/>
        <v>6</v>
      </c>
      <c r="Y143">
        <f t="shared" si="11"/>
        <v>0</v>
      </c>
      <c r="Z143">
        <v>142</v>
      </c>
    </row>
    <row r="144" spans="1:26" x14ac:dyDescent="0.2">
      <c r="A144" s="8">
        <v>38</v>
      </c>
      <c r="B144" s="9">
        <v>1218</v>
      </c>
      <c r="C144" s="9">
        <v>2</v>
      </c>
      <c r="D144" s="9">
        <v>2</v>
      </c>
      <c r="E144" s="9">
        <v>1</v>
      </c>
      <c r="F144" s="9">
        <v>2</v>
      </c>
      <c r="G144" t="s">
        <v>149</v>
      </c>
      <c r="H144" s="9">
        <v>4</v>
      </c>
      <c r="I144" s="9">
        <v>4</v>
      </c>
      <c r="J144" s="9">
        <v>105</v>
      </c>
      <c r="K144" s="10">
        <v>100</v>
      </c>
      <c r="L144" s="10">
        <v>3.8095238095238098</v>
      </c>
      <c r="M144" s="10">
        <v>0</v>
      </c>
      <c r="N144" s="1">
        <v>1.9453818808399102E-6</v>
      </c>
      <c r="O144" s="10">
        <v>5.7109951334322</v>
      </c>
      <c r="P144" s="14" t="s">
        <v>150</v>
      </c>
      <c r="Q144" s="11">
        <v>92.339083927030202</v>
      </c>
      <c r="R144" s="10">
        <v>1.1200000000000001</v>
      </c>
      <c r="S144" s="10">
        <v>23.38</v>
      </c>
      <c r="T144" s="10">
        <v>1.52</v>
      </c>
      <c r="V144" s="9">
        <f t="shared" si="8"/>
        <v>68</v>
      </c>
      <c r="W144" s="9">
        <f t="shared" si="9"/>
        <v>142</v>
      </c>
      <c r="X144">
        <f t="shared" si="10"/>
        <v>6</v>
      </c>
      <c r="Y144">
        <f t="shared" si="11"/>
        <v>0</v>
      </c>
      <c r="Z144">
        <v>143</v>
      </c>
    </row>
    <row r="145" spans="1:26" x14ac:dyDescent="0.2">
      <c r="A145" s="8">
        <v>39</v>
      </c>
      <c r="B145" s="9">
        <v>779</v>
      </c>
      <c r="C145" s="9">
        <v>3</v>
      </c>
      <c r="D145" s="9">
        <v>2</v>
      </c>
      <c r="E145" s="9">
        <v>2</v>
      </c>
      <c r="F145" s="9">
        <v>1</v>
      </c>
      <c r="G145" t="s">
        <v>151</v>
      </c>
      <c r="H145" s="9">
        <v>7</v>
      </c>
      <c r="I145" s="9">
        <v>94</v>
      </c>
      <c r="J145" s="9">
        <v>19</v>
      </c>
      <c r="K145" s="10">
        <v>7.4468085106382906</v>
      </c>
      <c r="L145" s="10">
        <v>36.842105263157798</v>
      </c>
      <c r="M145" s="10">
        <v>2.6540573520439201</v>
      </c>
      <c r="N145" s="1">
        <v>9.3308571620187397E-7</v>
      </c>
      <c r="O145" s="10">
        <v>6.0300784587576999</v>
      </c>
      <c r="P145" s="14">
        <v>13.881427707199</v>
      </c>
      <c r="Q145" s="11">
        <v>67.850579864929401</v>
      </c>
      <c r="R145" s="10">
        <v>5.94</v>
      </c>
      <c r="S145" s="10">
        <v>21.39</v>
      </c>
      <c r="T145" s="10">
        <v>1.39</v>
      </c>
      <c r="V145" s="9">
        <f t="shared" si="8"/>
        <v>69</v>
      </c>
      <c r="W145" s="9">
        <f t="shared" si="9"/>
        <v>143</v>
      </c>
      <c r="X145">
        <f t="shared" si="10"/>
        <v>6</v>
      </c>
      <c r="Y145">
        <f t="shared" si="11"/>
        <v>0</v>
      </c>
      <c r="Z145">
        <v>144</v>
      </c>
    </row>
    <row r="146" spans="1:26" x14ac:dyDescent="0.2">
      <c r="A146" s="8">
        <v>39</v>
      </c>
      <c r="B146" s="9">
        <v>779</v>
      </c>
      <c r="C146" s="9">
        <v>3</v>
      </c>
      <c r="D146" s="9">
        <v>2</v>
      </c>
      <c r="E146" s="9">
        <v>2</v>
      </c>
      <c r="F146" s="9">
        <v>1</v>
      </c>
      <c r="G146" t="s">
        <v>152</v>
      </c>
      <c r="H146" s="9">
        <v>2</v>
      </c>
      <c r="I146" s="9">
        <v>14</v>
      </c>
      <c r="J146" s="9">
        <v>19</v>
      </c>
      <c r="K146" s="10">
        <v>14.285714285714199</v>
      </c>
      <c r="L146" s="10">
        <v>10.5263157894736</v>
      </c>
      <c r="M146" s="10">
        <v>0.36607687614398998</v>
      </c>
      <c r="N146" s="1">
        <v>5.4961110779915504E-3</v>
      </c>
      <c r="O146" s="10">
        <v>2.25994449864295</v>
      </c>
      <c r="P146" s="14">
        <v>28.754385964912199</v>
      </c>
      <c r="Q146" s="11">
        <v>25.220656186090501</v>
      </c>
      <c r="R146" s="10">
        <v>25.27</v>
      </c>
      <c r="S146" s="10">
        <v>21.39</v>
      </c>
      <c r="T146" s="10">
        <v>1.39</v>
      </c>
      <c r="V146" s="9">
        <f t="shared" si="8"/>
        <v>69</v>
      </c>
      <c r="W146" s="9">
        <f t="shared" si="9"/>
        <v>143</v>
      </c>
      <c r="X146">
        <f t="shared" si="10"/>
        <v>6</v>
      </c>
      <c r="Y146">
        <f t="shared" si="11"/>
        <v>0</v>
      </c>
      <c r="Z146">
        <v>145</v>
      </c>
    </row>
    <row r="147" spans="1:26" x14ac:dyDescent="0.2">
      <c r="A147" s="8">
        <v>39</v>
      </c>
      <c r="B147" s="9">
        <v>779</v>
      </c>
      <c r="C147" s="9">
        <v>3</v>
      </c>
      <c r="D147" s="9">
        <v>2</v>
      </c>
      <c r="E147" s="9">
        <v>1</v>
      </c>
      <c r="F147" s="9">
        <v>2</v>
      </c>
      <c r="G147" t="s">
        <v>153</v>
      </c>
      <c r="H147" s="9">
        <v>8</v>
      </c>
      <c r="I147" s="9">
        <v>19</v>
      </c>
      <c r="J147" s="9">
        <v>107</v>
      </c>
      <c r="K147" s="10">
        <v>42.105263157894704</v>
      </c>
      <c r="L147" s="10">
        <v>7.4766355140186898</v>
      </c>
      <c r="M147" s="10">
        <v>0.34482758620689596</v>
      </c>
      <c r="N147" s="1">
        <v>1.0649984913640899E-7</v>
      </c>
      <c r="O147" s="10">
        <v>6.9726510074296604</v>
      </c>
      <c r="P147" s="14">
        <v>21.682242990654199</v>
      </c>
      <c r="Q147" s="11">
        <v>79.877262762194903</v>
      </c>
      <c r="R147" s="10">
        <v>33.26</v>
      </c>
      <c r="S147" s="10">
        <v>21.39</v>
      </c>
      <c r="T147" s="10">
        <v>1.39</v>
      </c>
      <c r="V147" s="9">
        <f t="shared" si="8"/>
        <v>69</v>
      </c>
      <c r="W147" s="9">
        <f t="shared" si="9"/>
        <v>144</v>
      </c>
      <c r="X147">
        <f t="shared" si="10"/>
        <v>6</v>
      </c>
      <c r="Y147">
        <f t="shared" si="11"/>
        <v>0</v>
      </c>
      <c r="Z147">
        <v>146</v>
      </c>
    </row>
    <row r="148" spans="1:26" x14ac:dyDescent="0.2">
      <c r="A148" s="8">
        <v>39</v>
      </c>
      <c r="B148" s="9">
        <v>1030</v>
      </c>
      <c r="C148" s="9">
        <v>2</v>
      </c>
      <c r="D148" s="9">
        <v>2</v>
      </c>
      <c r="E148" s="9">
        <v>1</v>
      </c>
      <c r="F148" s="9">
        <v>1</v>
      </c>
      <c r="G148" t="s">
        <v>154</v>
      </c>
      <c r="H148" s="9">
        <v>5</v>
      </c>
      <c r="I148" s="9">
        <v>101</v>
      </c>
      <c r="J148" s="9">
        <v>8</v>
      </c>
      <c r="K148" s="10">
        <v>4.9504950495049505</v>
      </c>
      <c r="L148" s="10">
        <v>62.5</v>
      </c>
      <c r="M148" s="10">
        <v>2.9188203101246502</v>
      </c>
      <c r="N148" s="1">
        <v>2.5459939442205698E-6</v>
      </c>
      <c r="O148" s="10">
        <v>5.5941426336732096</v>
      </c>
      <c r="P148" s="14">
        <v>21.4127604166666</v>
      </c>
      <c r="Q148" s="11">
        <v>76.394029004323301</v>
      </c>
      <c r="R148" s="10">
        <v>3.34</v>
      </c>
      <c r="S148" s="10">
        <v>20.350000000000001</v>
      </c>
      <c r="T148" s="10">
        <v>1.33</v>
      </c>
      <c r="V148" s="9">
        <f t="shared" si="8"/>
        <v>70</v>
      </c>
      <c r="W148" s="9">
        <f t="shared" si="9"/>
        <v>145</v>
      </c>
      <c r="X148">
        <f t="shared" si="10"/>
        <v>6</v>
      </c>
      <c r="Y148">
        <f t="shared" si="11"/>
        <v>0</v>
      </c>
      <c r="Z148">
        <v>147</v>
      </c>
    </row>
    <row r="149" spans="1:26" x14ac:dyDescent="0.2">
      <c r="A149" s="8">
        <v>39</v>
      </c>
      <c r="B149" s="9">
        <v>1030</v>
      </c>
      <c r="C149" s="9">
        <v>2</v>
      </c>
      <c r="D149" s="9">
        <v>2</v>
      </c>
      <c r="E149" s="9">
        <v>1</v>
      </c>
      <c r="F149" s="9">
        <v>2</v>
      </c>
      <c r="G149" t="s">
        <v>155</v>
      </c>
      <c r="H149" s="9">
        <v>5</v>
      </c>
      <c r="I149" s="9">
        <v>8</v>
      </c>
      <c r="J149" s="9">
        <v>99</v>
      </c>
      <c r="K149" s="10">
        <v>62.5</v>
      </c>
      <c r="L149" s="10">
        <v>5.0505050505050502</v>
      </c>
      <c r="M149" s="10">
        <v>9.3808630393996201E-2</v>
      </c>
      <c r="N149" s="1">
        <v>2.3025332275886802E-6</v>
      </c>
      <c r="O149" s="10">
        <v>5.6377940938328299</v>
      </c>
      <c r="P149" s="14">
        <v>53.838383838383798</v>
      </c>
      <c r="Q149" s="11">
        <v>78.066372142996997</v>
      </c>
      <c r="R149" s="10">
        <v>0.27</v>
      </c>
      <c r="S149" s="10">
        <v>20.350000000000001</v>
      </c>
      <c r="T149" s="10">
        <v>1.33</v>
      </c>
      <c r="V149" s="9">
        <f t="shared" si="8"/>
        <v>70</v>
      </c>
      <c r="W149" s="9">
        <f t="shared" si="9"/>
        <v>146</v>
      </c>
      <c r="X149">
        <f t="shared" si="10"/>
        <v>6</v>
      </c>
      <c r="Y149">
        <f t="shared" si="11"/>
        <v>0</v>
      </c>
      <c r="Z149">
        <v>148</v>
      </c>
    </row>
    <row r="150" spans="1:26" x14ac:dyDescent="0.2">
      <c r="A150" s="8">
        <v>39</v>
      </c>
      <c r="B150" s="9">
        <v>1796</v>
      </c>
      <c r="C150" s="9">
        <v>2</v>
      </c>
      <c r="D150" s="9">
        <v>2</v>
      </c>
      <c r="E150" s="9">
        <v>1</v>
      </c>
      <c r="F150" s="9">
        <v>1</v>
      </c>
      <c r="G150" t="s">
        <v>156</v>
      </c>
      <c r="H150" s="9">
        <v>4</v>
      </c>
      <c r="I150" s="9">
        <v>135</v>
      </c>
      <c r="J150" s="9">
        <v>4</v>
      </c>
      <c r="K150" s="10">
        <v>2.9629629629629601</v>
      </c>
      <c r="L150" s="10">
        <v>100</v>
      </c>
      <c r="M150" s="10">
        <v>3.97813543880959</v>
      </c>
      <c r="N150" s="1">
        <v>5.3852884570709601E-6</v>
      </c>
      <c r="O150" s="10">
        <v>5.2687910292352598</v>
      </c>
      <c r="P150" s="14">
        <v>25.137404580152602</v>
      </c>
      <c r="Q150" s="11">
        <v>70.944295293497206</v>
      </c>
      <c r="R150" s="10">
        <v>48.03</v>
      </c>
      <c r="S150" s="10">
        <v>20.78</v>
      </c>
      <c r="T150" s="10">
        <v>1.35</v>
      </c>
      <c r="V150" s="9">
        <f t="shared" si="8"/>
        <v>71</v>
      </c>
      <c r="W150" s="9">
        <f t="shared" si="9"/>
        <v>147</v>
      </c>
      <c r="X150">
        <f t="shared" si="10"/>
        <v>6</v>
      </c>
      <c r="Y150">
        <f t="shared" si="11"/>
        <v>0</v>
      </c>
      <c r="Z150">
        <v>149</v>
      </c>
    </row>
    <row r="151" spans="1:26" x14ac:dyDescent="0.2">
      <c r="A151" s="8">
        <v>39</v>
      </c>
      <c r="B151" s="9">
        <v>1796</v>
      </c>
      <c r="C151" s="9">
        <v>2</v>
      </c>
      <c r="D151" s="9">
        <v>2</v>
      </c>
      <c r="E151" s="9">
        <v>1</v>
      </c>
      <c r="F151" s="9">
        <v>2</v>
      </c>
      <c r="G151" t="s">
        <v>157</v>
      </c>
      <c r="H151" s="9">
        <v>4</v>
      </c>
      <c r="I151" s="9">
        <v>4</v>
      </c>
      <c r="J151" s="9">
        <v>147</v>
      </c>
      <c r="K151" s="10">
        <v>100</v>
      </c>
      <c r="L151" s="10">
        <v>2.7210884353741398</v>
      </c>
      <c r="M151" s="10">
        <v>0</v>
      </c>
      <c r="N151" s="1">
        <v>7.5988087929095699E-6</v>
      </c>
      <c r="O151" s="10">
        <v>5.1192544834051699</v>
      </c>
      <c r="P151" s="14" t="s">
        <v>158</v>
      </c>
      <c r="Q151" s="11">
        <v>64.831571894928601</v>
      </c>
      <c r="R151" s="10">
        <v>2.92</v>
      </c>
      <c r="S151" s="10">
        <v>20.78</v>
      </c>
      <c r="T151" s="10">
        <v>1.35</v>
      </c>
      <c r="V151" s="9">
        <f t="shared" si="8"/>
        <v>71</v>
      </c>
      <c r="W151" s="9">
        <f t="shared" si="9"/>
        <v>148</v>
      </c>
      <c r="X151">
        <f t="shared" si="10"/>
        <v>6</v>
      </c>
      <c r="Y151">
        <f t="shared" si="11"/>
        <v>0</v>
      </c>
      <c r="Z151">
        <v>150</v>
      </c>
    </row>
    <row r="152" spans="1:26" x14ac:dyDescent="0.2">
      <c r="A152" s="8">
        <v>40</v>
      </c>
      <c r="B152" s="9">
        <v>1209</v>
      </c>
      <c r="C152" s="9">
        <v>2</v>
      </c>
      <c r="D152" s="9">
        <v>2</v>
      </c>
      <c r="E152" s="9">
        <v>1</v>
      </c>
      <c r="F152" s="9">
        <v>1</v>
      </c>
      <c r="G152" t="s">
        <v>159</v>
      </c>
      <c r="H152" s="9">
        <v>6</v>
      </c>
      <c r="I152" s="9">
        <v>7</v>
      </c>
      <c r="J152" s="9">
        <v>108</v>
      </c>
      <c r="K152" s="10">
        <v>85.714285714285694</v>
      </c>
      <c r="L152" s="10">
        <v>5.55555555555555</v>
      </c>
      <c r="M152" s="10">
        <v>3.1357792411414197E-2</v>
      </c>
      <c r="N152" s="1">
        <v>1.46849037859212E-8</v>
      </c>
      <c r="O152" s="10">
        <v>7.8331288945875697</v>
      </c>
      <c r="P152" s="14">
        <v>177.166666666666</v>
      </c>
      <c r="Q152" s="11">
        <v>125.52242728494799</v>
      </c>
      <c r="R152" s="10">
        <v>73.510000000000005</v>
      </c>
      <c r="S152" s="10">
        <v>23.48</v>
      </c>
      <c r="T152" s="10">
        <v>1.53</v>
      </c>
      <c r="V152" s="9">
        <f t="shared" si="8"/>
        <v>72</v>
      </c>
      <c r="W152" s="9">
        <f t="shared" si="9"/>
        <v>149</v>
      </c>
      <c r="X152">
        <f t="shared" si="10"/>
        <v>6</v>
      </c>
      <c r="Y152">
        <f t="shared" si="11"/>
        <v>0</v>
      </c>
      <c r="Z152">
        <v>151</v>
      </c>
    </row>
    <row r="153" spans="1:26" x14ac:dyDescent="0.2">
      <c r="A153" s="8">
        <v>40</v>
      </c>
      <c r="B153" s="9">
        <v>1209</v>
      </c>
      <c r="C153" s="9">
        <v>2</v>
      </c>
      <c r="D153" s="9">
        <v>2</v>
      </c>
      <c r="E153" s="9">
        <v>1</v>
      </c>
      <c r="F153" s="9">
        <v>2</v>
      </c>
      <c r="G153" t="s">
        <v>29</v>
      </c>
      <c r="H153" s="9">
        <v>6</v>
      </c>
      <c r="I153" s="9">
        <v>113</v>
      </c>
      <c r="J153" s="9">
        <v>7</v>
      </c>
      <c r="K153" s="10">
        <v>5.3097345132743303</v>
      </c>
      <c r="L153" s="10">
        <v>85.714285714285694</v>
      </c>
      <c r="M153" s="10">
        <v>3.2522796352583496</v>
      </c>
      <c r="N153" s="1">
        <v>1.9363276296492599E-8</v>
      </c>
      <c r="O153" s="10">
        <v>7.7130211575077601</v>
      </c>
      <c r="P153" s="14">
        <v>26.355140186915801</v>
      </c>
      <c r="Q153" s="11">
        <v>119.673202473545</v>
      </c>
      <c r="R153" s="10">
        <v>3.03</v>
      </c>
      <c r="S153" s="10">
        <v>23.48</v>
      </c>
      <c r="T153" s="10">
        <v>1.53</v>
      </c>
      <c r="V153" s="9">
        <f t="shared" si="8"/>
        <v>72</v>
      </c>
      <c r="W153" s="9">
        <f t="shared" si="9"/>
        <v>150</v>
      </c>
      <c r="X153">
        <f t="shared" si="10"/>
        <v>6</v>
      </c>
      <c r="Y153">
        <f t="shared" si="11"/>
        <v>0</v>
      </c>
      <c r="Z153">
        <v>152</v>
      </c>
    </row>
    <row r="154" spans="1:26" x14ac:dyDescent="0.2">
      <c r="A154" s="8">
        <v>40</v>
      </c>
      <c r="B154" s="9">
        <v>3233</v>
      </c>
      <c r="C154" s="9">
        <v>2</v>
      </c>
      <c r="D154" s="9">
        <v>2</v>
      </c>
      <c r="E154" s="9">
        <v>1</v>
      </c>
      <c r="F154" s="9">
        <v>1</v>
      </c>
      <c r="G154" t="s">
        <v>160</v>
      </c>
      <c r="H154" s="9">
        <v>4</v>
      </c>
      <c r="I154" s="9">
        <v>12</v>
      </c>
      <c r="J154" s="9">
        <v>30</v>
      </c>
      <c r="K154" s="10">
        <v>33.3333333333333</v>
      </c>
      <c r="L154" s="10">
        <v>13.3333333333333</v>
      </c>
      <c r="M154" s="10">
        <v>0.24487297214569897</v>
      </c>
      <c r="N154" s="1">
        <v>5.24779645185268E-6</v>
      </c>
      <c r="O154" s="10">
        <v>5.2800230184402297</v>
      </c>
      <c r="P154" s="14">
        <v>54.45</v>
      </c>
      <c r="Q154" s="11">
        <v>106.653889613933</v>
      </c>
      <c r="R154" s="10">
        <v>47.8</v>
      </c>
      <c r="S154" s="10">
        <v>21.95</v>
      </c>
      <c r="T154" s="10">
        <v>1.43</v>
      </c>
      <c r="V154" s="9">
        <f t="shared" si="8"/>
        <v>73</v>
      </c>
      <c r="W154" s="9">
        <f t="shared" si="9"/>
        <v>151</v>
      </c>
      <c r="X154">
        <f t="shared" si="10"/>
        <v>6</v>
      </c>
      <c r="Y154">
        <f t="shared" si="11"/>
        <v>0</v>
      </c>
      <c r="Z154">
        <v>153</v>
      </c>
    </row>
    <row r="155" spans="1:26" x14ac:dyDescent="0.2">
      <c r="A155" s="8">
        <v>40</v>
      </c>
      <c r="B155" s="9">
        <v>3233</v>
      </c>
      <c r="C155" s="9">
        <v>2</v>
      </c>
      <c r="D155" s="9">
        <v>2</v>
      </c>
      <c r="E155" s="9">
        <v>1</v>
      </c>
      <c r="F155" s="9">
        <v>2</v>
      </c>
      <c r="G155" t="s">
        <v>161</v>
      </c>
      <c r="H155" s="9">
        <v>4</v>
      </c>
      <c r="I155" s="9">
        <v>31</v>
      </c>
      <c r="J155" s="9">
        <v>12</v>
      </c>
      <c r="K155" s="10">
        <v>12.903225806451598</v>
      </c>
      <c r="L155" s="10">
        <v>33.3333333333333</v>
      </c>
      <c r="M155" s="10">
        <v>0.82191780821917804</v>
      </c>
      <c r="N155" s="1">
        <v>6.01348531230702E-6</v>
      </c>
      <c r="O155" s="10">
        <v>5.2208737454390803</v>
      </c>
      <c r="P155" s="14">
        <v>40.5555555555555</v>
      </c>
      <c r="Q155" s="11">
        <v>103.023517849445</v>
      </c>
      <c r="R155" s="10">
        <v>12.91</v>
      </c>
      <c r="S155" s="10">
        <v>21.95</v>
      </c>
      <c r="T155" s="10">
        <v>1.43</v>
      </c>
      <c r="V155" s="9">
        <f t="shared" si="8"/>
        <v>73</v>
      </c>
      <c r="W155" s="9">
        <f t="shared" si="9"/>
        <v>152</v>
      </c>
      <c r="X155">
        <f t="shared" si="10"/>
        <v>6</v>
      </c>
      <c r="Y155">
        <f t="shared" si="11"/>
        <v>0</v>
      </c>
      <c r="Z155">
        <v>154</v>
      </c>
    </row>
    <row r="156" spans="1:26" x14ac:dyDescent="0.2">
      <c r="A156" s="8">
        <v>42</v>
      </c>
      <c r="B156" s="9">
        <v>1173</v>
      </c>
      <c r="C156" s="9">
        <v>2</v>
      </c>
      <c r="D156" s="9">
        <v>2</v>
      </c>
      <c r="E156" s="9">
        <v>1</v>
      </c>
      <c r="F156" s="9">
        <v>1</v>
      </c>
      <c r="G156" t="s">
        <v>162</v>
      </c>
      <c r="H156" s="9">
        <v>4</v>
      </c>
      <c r="I156" s="9">
        <v>12</v>
      </c>
      <c r="J156" s="9">
        <v>27</v>
      </c>
      <c r="K156" s="10">
        <v>33.3333333333333</v>
      </c>
      <c r="L156" s="10">
        <v>14.814814814814801</v>
      </c>
      <c r="M156" s="10">
        <v>0.24464831804281301</v>
      </c>
      <c r="N156" s="1">
        <v>3.3804101338827198E-6</v>
      </c>
      <c r="O156" s="10">
        <v>5.47103060502518</v>
      </c>
      <c r="P156" s="14">
        <v>60.5555555555555</v>
      </c>
      <c r="Q156" s="11">
        <v>119.15934019389699</v>
      </c>
      <c r="R156" s="10">
        <v>1.08</v>
      </c>
      <c r="S156" s="10">
        <v>26.89</v>
      </c>
      <c r="T156" s="10">
        <v>1.75</v>
      </c>
      <c r="V156" s="9">
        <f t="shared" si="8"/>
        <v>74</v>
      </c>
      <c r="W156" s="9">
        <f t="shared" si="9"/>
        <v>153</v>
      </c>
      <c r="X156">
        <f t="shared" si="10"/>
        <v>6</v>
      </c>
      <c r="Y156">
        <f t="shared" si="11"/>
        <v>0</v>
      </c>
      <c r="Z156">
        <v>155</v>
      </c>
    </row>
    <row r="157" spans="1:26" x14ac:dyDescent="0.2">
      <c r="A157" s="8">
        <v>42</v>
      </c>
      <c r="B157" s="9">
        <v>1173</v>
      </c>
      <c r="C157" s="9">
        <v>2</v>
      </c>
      <c r="D157" s="9">
        <v>2</v>
      </c>
      <c r="E157" s="9">
        <v>1</v>
      </c>
      <c r="F157" s="9">
        <v>2</v>
      </c>
      <c r="G157" t="s">
        <v>163</v>
      </c>
      <c r="H157" s="9">
        <v>4</v>
      </c>
      <c r="I157" s="9">
        <v>26</v>
      </c>
      <c r="J157" s="9">
        <v>12</v>
      </c>
      <c r="K157" s="10">
        <v>15.3846153846153</v>
      </c>
      <c r="L157" s="10">
        <v>33.3333333333333</v>
      </c>
      <c r="M157" s="10">
        <v>0.66971080669710803</v>
      </c>
      <c r="N157" s="1">
        <v>2.8852373315506302E-6</v>
      </c>
      <c r="O157" s="10">
        <v>5.5398184571898703</v>
      </c>
      <c r="P157" s="14">
        <v>49.772727272727202</v>
      </c>
      <c r="Q157" s="11">
        <v>123.96941807117101</v>
      </c>
      <c r="R157" s="10">
        <v>57.39</v>
      </c>
      <c r="S157" s="10">
        <v>26.89</v>
      </c>
      <c r="T157" s="10">
        <v>1.75</v>
      </c>
      <c r="V157" s="9">
        <f t="shared" si="8"/>
        <v>74</v>
      </c>
      <c r="W157" s="9">
        <f t="shared" si="9"/>
        <v>154</v>
      </c>
      <c r="X157">
        <f t="shared" si="10"/>
        <v>6</v>
      </c>
      <c r="Y157">
        <f t="shared" si="11"/>
        <v>0</v>
      </c>
      <c r="Z157">
        <v>156</v>
      </c>
    </row>
    <row r="158" spans="1:26" x14ac:dyDescent="0.2">
      <c r="A158" s="8">
        <v>42</v>
      </c>
      <c r="B158" s="9">
        <v>1201</v>
      </c>
      <c r="C158" s="9">
        <v>2</v>
      </c>
      <c r="D158" s="9">
        <v>2</v>
      </c>
      <c r="E158" s="9">
        <v>1</v>
      </c>
      <c r="F158" s="9">
        <v>1</v>
      </c>
      <c r="G158" t="s">
        <v>35</v>
      </c>
      <c r="H158" s="9">
        <v>9</v>
      </c>
      <c r="I158" s="9">
        <v>90</v>
      </c>
      <c r="J158" s="9">
        <v>46</v>
      </c>
      <c r="K158" s="10">
        <v>10</v>
      </c>
      <c r="L158" s="10">
        <v>19.565217391304298</v>
      </c>
      <c r="M158" s="10">
        <v>2.4915410642879099</v>
      </c>
      <c r="N158" s="1">
        <v>5.4073942026722096E-6</v>
      </c>
      <c r="O158" s="10">
        <v>5.2670119689106203</v>
      </c>
      <c r="P158" s="14">
        <v>7.8526570048309097</v>
      </c>
      <c r="Q158" s="11">
        <v>43.574758106190401</v>
      </c>
      <c r="R158" s="10">
        <v>38.46</v>
      </c>
      <c r="S158" s="10">
        <v>22.87</v>
      </c>
      <c r="T158" s="10">
        <v>1.49</v>
      </c>
      <c r="V158" s="9">
        <f t="shared" si="8"/>
        <v>75</v>
      </c>
      <c r="W158" s="9">
        <f t="shared" si="9"/>
        <v>155</v>
      </c>
      <c r="X158">
        <f t="shared" si="10"/>
        <v>6</v>
      </c>
      <c r="Y158">
        <f t="shared" si="11"/>
        <v>0</v>
      </c>
      <c r="Z158">
        <v>157</v>
      </c>
    </row>
    <row r="159" spans="1:26" x14ac:dyDescent="0.2">
      <c r="A159" s="8">
        <v>42</v>
      </c>
      <c r="B159" s="9">
        <v>1201</v>
      </c>
      <c r="C159" s="9">
        <v>2</v>
      </c>
      <c r="D159" s="9">
        <v>2</v>
      </c>
      <c r="E159" s="9">
        <v>1</v>
      </c>
      <c r="F159" s="9">
        <v>2</v>
      </c>
      <c r="G159" t="s">
        <v>164</v>
      </c>
      <c r="H159" s="9">
        <v>9</v>
      </c>
      <c r="I159" s="9">
        <v>46</v>
      </c>
      <c r="J159" s="9">
        <v>89</v>
      </c>
      <c r="K159" s="10">
        <v>19.565217391304298</v>
      </c>
      <c r="L159" s="10">
        <v>10.112359550561701</v>
      </c>
      <c r="M159" s="10">
        <v>1.15336658354114</v>
      </c>
      <c r="N159" s="1">
        <v>4.9171139367727097E-6</v>
      </c>
      <c r="O159" s="10">
        <v>5.30828972835039</v>
      </c>
      <c r="P159" s="14">
        <v>8.7676890373519498</v>
      </c>
      <c r="Q159" s="11">
        <v>44.220467056277499</v>
      </c>
      <c r="R159" s="10">
        <v>3.52</v>
      </c>
      <c r="S159" s="10">
        <v>22.87</v>
      </c>
      <c r="T159" s="10">
        <v>1.49</v>
      </c>
      <c r="V159" s="9">
        <f t="shared" si="8"/>
        <v>75</v>
      </c>
      <c r="W159" s="9">
        <f t="shared" si="9"/>
        <v>156</v>
      </c>
      <c r="X159">
        <f t="shared" si="10"/>
        <v>6</v>
      </c>
      <c r="Y159">
        <f t="shared" si="11"/>
        <v>0</v>
      </c>
      <c r="Z159">
        <v>158</v>
      </c>
    </row>
    <row r="160" spans="1:26" x14ac:dyDescent="0.2">
      <c r="A160" s="8">
        <v>43</v>
      </c>
      <c r="B160" s="9">
        <v>1639</v>
      </c>
      <c r="C160" s="9">
        <v>3</v>
      </c>
      <c r="D160" s="9">
        <v>2</v>
      </c>
      <c r="E160" s="9">
        <v>2</v>
      </c>
      <c r="F160" s="9">
        <v>1</v>
      </c>
      <c r="G160" t="s">
        <v>165</v>
      </c>
      <c r="H160" s="9">
        <v>8</v>
      </c>
      <c r="I160" s="9">
        <v>26</v>
      </c>
      <c r="J160" s="9">
        <v>112</v>
      </c>
      <c r="K160" s="10">
        <v>30.769230769230699</v>
      </c>
      <c r="L160" s="10">
        <v>7.1428571428571397</v>
      </c>
      <c r="M160" s="10">
        <v>0.56514913657770804</v>
      </c>
      <c r="N160" s="1">
        <v>2.5912715930351602E-6</v>
      </c>
      <c r="O160" s="10">
        <v>5.5864870659122801</v>
      </c>
      <c r="P160" s="14">
        <v>12.6388888888888</v>
      </c>
      <c r="Q160" s="11">
        <v>51.721122073190202</v>
      </c>
      <c r="R160" s="10">
        <v>0.63</v>
      </c>
      <c r="S160" s="10">
        <v>23.68</v>
      </c>
      <c r="T160" s="10">
        <v>1.54</v>
      </c>
      <c r="V160" s="9">
        <f t="shared" si="8"/>
        <v>76</v>
      </c>
      <c r="W160" s="9">
        <f t="shared" si="9"/>
        <v>157</v>
      </c>
      <c r="X160">
        <f t="shared" si="10"/>
        <v>6</v>
      </c>
      <c r="Y160">
        <f t="shared" si="11"/>
        <v>0</v>
      </c>
      <c r="Z160">
        <v>159</v>
      </c>
    </row>
    <row r="161" spans="1:26" x14ac:dyDescent="0.2">
      <c r="A161" s="8">
        <v>43</v>
      </c>
      <c r="B161" s="9">
        <v>1639</v>
      </c>
      <c r="C161" s="9">
        <v>3</v>
      </c>
      <c r="D161" s="9">
        <v>2</v>
      </c>
      <c r="E161" s="9">
        <v>2</v>
      </c>
      <c r="F161" s="9">
        <v>1</v>
      </c>
      <c r="G161" t="s">
        <v>166</v>
      </c>
      <c r="H161" s="9">
        <v>2</v>
      </c>
      <c r="I161" s="9">
        <v>2</v>
      </c>
      <c r="J161" s="9">
        <v>112</v>
      </c>
      <c r="K161" s="10">
        <v>100</v>
      </c>
      <c r="L161" s="10">
        <v>1.78571428571428</v>
      </c>
      <c r="M161" s="10">
        <v>0</v>
      </c>
      <c r="N161" s="1">
        <v>2.2880465029991898E-3</v>
      </c>
      <c r="O161" s="10">
        <v>2.6405351530474102</v>
      </c>
      <c r="P161" s="14" t="s">
        <v>167</v>
      </c>
      <c r="Q161" s="11">
        <v>31.265549163943</v>
      </c>
      <c r="R161" s="10">
        <v>0.22</v>
      </c>
      <c r="S161" s="10">
        <v>23.68</v>
      </c>
      <c r="T161" s="10">
        <v>1.54</v>
      </c>
      <c r="V161" s="9">
        <f t="shared" si="8"/>
        <v>76</v>
      </c>
      <c r="W161" s="9">
        <f t="shared" si="9"/>
        <v>157</v>
      </c>
      <c r="X161">
        <f t="shared" si="10"/>
        <v>6</v>
      </c>
      <c r="Y161">
        <f t="shared" si="11"/>
        <v>0</v>
      </c>
      <c r="Z161">
        <v>160</v>
      </c>
    </row>
    <row r="162" spans="1:26" x14ac:dyDescent="0.2">
      <c r="A162" s="8">
        <v>43</v>
      </c>
      <c r="B162" s="9">
        <v>1639</v>
      </c>
      <c r="C162" s="9">
        <v>3</v>
      </c>
      <c r="D162" s="9">
        <v>2</v>
      </c>
      <c r="E162" s="9">
        <v>1</v>
      </c>
      <c r="F162" s="9">
        <v>2</v>
      </c>
      <c r="G162" t="s">
        <v>29</v>
      </c>
      <c r="H162" s="9">
        <v>10</v>
      </c>
      <c r="I162" s="9">
        <v>113</v>
      </c>
      <c r="J162" s="9">
        <v>28</v>
      </c>
      <c r="K162" s="10">
        <v>8.8495575221238898</v>
      </c>
      <c r="L162" s="10">
        <v>35.714285714285701</v>
      </c>
      <c r="M162" s="10">
        <v>3.1508106454573199</v>
      </c>
      <c r="N162" s="1">
        <v>2.3475154997157198E-8</v>
      </c>
      <c r="O162" s="10">
        <v>7.6293915315777996</v>
      </c>
      <c r="P162" s="14">
        <v>11.3349514563106</v>
      </c>
      <c r="Q162" s="11">
        <v>79.374806255906293</v>
      </c>
      <c r="R162" s="10">
        <v>3.03</v>
      </c>
      <c r="S162" s="10">
        <v>23.68</v>
      </c>
      <c r="T162" s="10">
        <v>1.54</v>
      </c>
      <c r="V162" s="9">
        <f t="shared" si="8"/>
        <v>76</v>
      </c>
      <c r="W162" s="9">
        <f t="shared" si="9"/>
        <v>158</v>
      </c>
      <c r="X162">
        <f t="shared" si="10"/>
        <v>6</v>
      </c>
      <c r="Y162">
        <f t="shared" si="11"/>
        <v>0</v>
      </c>
      <c r="Z162">
        <v>161</v>
      </c>
    </row>
    <row r="163" spans="1:26" x14ac:dyDescent="0.2">
      <c r="A163" s="8">
        <v>44</v>
      </c>
      <c r="B163" s="9">
        <v>1045</v>
      </c>
      <c r="C163" s="9">
        <v>2</v>
      </c>
      <c r="D163" s="9">
        <v>2</v>
      </c>
      <c r="E163" s="9">
        <v>1</v>
      </c>
      <c r="F163" s="9">
        <v>1</v>
      </c>
      <c r="G163" t="s">
        <v>168</v>
      </c>
      <c r="H163" s="9">
        <v>5</v>
      </c>
      <c r="I163" s="9">
        <v>25</v>
      </c>
      <c r="J163" s="9">
        <v>13</v>
      </c>
      <c r="K163" s="10">
        <v>20</v>
      </c>
      <c r="L163" s="10">
        <v>38.461538461538403</v>
      </c>
      <c r="M163" s="10">
        <v>0.60901339829476198</v>
      </c>
      <c r="N163" s="1">
        <v>4.05705654451593E-8</v>
      </c>
      <c r="O163" s="10">
        <v>7.3917889393501097</v>
      </c>
      <c r="P163" s="14">
        <v>63.153846153846096</v>
      </c>
      <c r="Q163" s="11">
        <v>198.81253140658399</v>
      </c>
      <c r="R163" s="10">
        <v>1.48</v>
      </c>
      <c r="S163" s="10">
        <v>22.36</v>
      </c>
      <c r="T163" s="10">
        <v>1.46</v>
      </c>
      <c r="V163" s="9">
        <f t="shared" si="8"/>
        <v>77</v>
      </c>
      <c r="W163" s="9">
        <f t="shared" si="9"/>
        <v>159</v>
      </c>
      <c r="X163">
        <f t="shared" si="10"/>
        <v>6</v>
      </c>
      <c r="Y163">
        <f t="shared" si="11"/>
        <v>0</v>
      </c>
      <c r="Z163">
        <v>162</v>
      </c>
    </row>
    <row r="164" spans="1:26" x14ac:dyDescent="0.2">
      <c r="A164" s="8">
        <v>44</v>
      </c>
      <c r="B164" s="9">
        <v>1045</v>
      </c>
      <c r="C164" s="9">
        <v>2</v>
      </c>
      <c r="D164" s="9">
        <v>2</v>
      </c>
      <c r="E164" s="9">
        <v>1</v>
      </c>
      <c r="F164" s="9">
        <v>2</v>
      </c>
      <c r="G164" t="s">
        <v>169</v>
      </c>
      <c r="H164" s="9">
        <v>5</v>
      </c>
      <c r="I164" s="9">
        <v>13</v>
      </c>
      <c r="J164" s="9">
        <v>25</v>
      </c>
      <c r="K164" s="10">
        <v>38.461538461538403</v>
      </c>
      <c r="L164" s="10">
        <v>20</v>
      </c>
      <c r="M164" s="10">
        <v>0.24449877750611199</v>
      </c>
      <c r="N164" s="1">
        <v>4.05705654451593E-8</v>
      </c>
      <c r="O164" s="10">
        <v>7.3917889393501097</v>
      </c>
      <c r="P164" s="14">
        <v>81.8</v>
      </c>
      <c r="Q164" s="11">
        <v>198.81253140658399</v>
      </c>
      <c r="R164" s="10">
        <v>450.52</v>
      </c>
      <c r="S164" s="10">
        <v>22.36</v>
      </c>
      <c r="T164" s="10">
        <v>1.46</v>
      </c>
      <c r="V164" s="9">
        <f t="shared" si="8"/>
        <v>77</v>
      </c>
      <c r="W164" s="9">
        <f t="shared" si="9"/>
        <v>160</v>
      </c>
      <c r="X164">
        <f t="shared" si="10"/>
        <v>6</v>
      </c>
      <c r="Y164">
        <f t="shared" si="11"/>
        <v>0</v>
      </c>
      <c r="Z164">
        <v>163</v>
      </c>
    </row>
    <row r="165" spans="1:26" x14ac:dyDescent="0.2">
      <c r="A165" s="8">
        <v>45</v>
      </c>
      <c r="B165" s="9">
        <v>508</v>
      </c>
      <c r="C165" s="9">
        <v>2</v>
      </c>
      <c r="D165" s="9">
        <v>2</v>
      </c>
      <c r="E165" s="9">
        <v>1</v>
      </c>
      <c r="F165" s="9">
        <v>1</v>
      </c>
      <c r="G165" t="s">
        <v>170</v>
      </c>
      <c r="H165" s="9">
        <v>5</v>
      </c>
      <c r="I165" s="9">
        <v>93</v>
      </c>
      <c r="J165" s="9">
        <v>10</v>
      </c>
      <c r="K165" s="10">
        <v>5.3763440860214997</v>
      </c>
      <c r="L165" s="10">
        <v>50</v>
      </c>
      <c r="M165" s="10">
        <v>2.6772132643747999</v>
      </c>
      <c r="N165" s="1">
        <v>7.2313325026770598E-6</v>
      </c>
      <c r="O165" s="10">
        <v>5.1407816687858698</v>
      </c>
      <c r="P165" s="14">
        <v>18.676136363636299</v>
      </c>
      <c r="Q165" s="11">
        <v>65.099771973830499</v>
      </c>
      <c r="R165" s="10">
        <v>11.4</v>
      </c>
      <c r="S165" s="10">
        <v>22.62</v>
      </c>
      <c r="T165" s="10">
        <v>1.47</v>
      </c>
      <c r="V165" s="9">
        <f t="shared" si="8"/>
        <v>78</v>
      </c>
      <c r="W165" s="9">
        <f t="shared" si="9"/>
        <v>161</v>
      </c>
      <c r="X165">
        <f t="shared" si="10"/>
        <v>6</v>
      </c>
      <c r="Y165">
        <f t="shared" si="11"/>
        <v>0</v>
      </c>
      <c r="Z165">
        <v>164</v>
      </c>
    </row>
    <row r="166" spans="1:26" x14ac:dyDescent="0.2">
      <c r="A166" s="8">
        <v>45</v>
      </c>
      <c r="B166" s="9">
        <v>508</v>
      </c>
      <c r="C166" s="9">
        <v>2</v>
      </c>
      <c r="D166" s="9">
        <v>2</v>
      </c>
      <c r="E166" s="9">
        <v>1</v>
      </c>
      <c r="F166" s="9">
        <v>2</v>
      </c>
      <c r="G166" t="s">
        <v>171</v>
      </c>
      <c r="H166" s="9">
        <v>5</v>
      </c>
      <c r="I166" s="9">
        <v>10</v>
      </c>
      <c r="J166" s="9">
        <v>92</v>
      </c>
      <c r="K166" s="10">
        <v>50</v>
      </c>
      <c r="L166" s="10">
        <v>5.4347826086956497</v>
      </c>
      <c r="M166" s="10">
        <v>0.15600624024960999</v>
      </c>
      <c r="N166" s="1">
        <v>6.8513946893552497E-6</v>
      </c>
      <c r="O166" s="10">
        <v>5.1642210132904696</v>
      </c>
      <c r="P166" s="14">
        <v>34.836956521739097</v>
      </c>
      <c r="Q166" s="11">
        <v>65.881492573288</v>
      </c>
      <c r="R166" s="10">
        <v>17.59</v>
      </c>
      <c r="S166" s="10">
        <v>22.62</v>
      </c>
      <c r="T166" s="10">
        <v>1.47</v>
      </c>
      <c r="V166" s="9">
        <f t="shared" si="8"/>
        <v>78</v>
      </c>
      <c r="W166" s="9">
        <f t="shared" si="9"/>
        <v>162</v>
      </c>
      <c r="X166">
        <f t="shared" si="10"/>
        <v>6</v>
      </c>
      <c r="Y166">
        <f t="shared" si="11"/>
        <v>0</v>
      </c>
      <c r="Z166">
        <v>165</v>
      </c>
    </row>
    <row r="167" spans="1:26" x14ac:dyDescent="0.2">
      <c r="A167" s="8">
        <v>46</v>
      </c>
      <c r="B167" s="9">
        <v>521</v>
      </c>
      <c r="C167" s="9">
        <v>2</v>
      </c>
      <c r="D167" s="9">
        <v>2</v>
      </c>
      <c r="E167" s="9">
        <v>1</v>
      </c>
      <c r="F167" s="9">
        <v>1</v>
      </c>
      <c r="G167" t="s">
        <v>172</v>
      </c>
      <c r="H167" s="9">
        <v>6</v>
      </c>
      <c r="I167" s="9">
        <v>188</v>
      </c>
      <c r="J167" s="9">
        <v>9</v>
      </c>
      <c r="K167" s="10">
        <v>3.1914893617021196</v>
      </c>
      <c r="L167" s="10">
        <v>66.6666666666666</v>
      </c>
      <c r="M167" s="10">
        <v>5.5352798053527899</v>
      </c>
      <c r="N167" s="1">
        <v>4.6270578946561203E-6</v>
      </c>
      <c r="O167" s="10">
        <v>5.3346950664883401</v>
      </c>
      <c r="P167" s="14">
        <v>12.043956043955999</v>
      </c>
      <c r="Q167" s="11">
        <v>51.528669769106003</v>
      </c>
      <c r="R167" s="10">
        <v>65.349999999999994</v>
      </c>
      <c r="S167" s="10">
        <v>22.16</v>
      </c>
      <c r="T167" s="10">
        <v>1.44</v>
      </c>
      <c r="V167" s="9">
        <f t="shared" si="8"/>
        <v>79</v>
      </c>
      <c r="W167" s="9">
        <f t="shared" si="9"/>
        <v>163</v>
      </c>
      <c r="X167">
        <f t="shared" si="10"/>
        <v>6</v>
      </c>
      <c r="Y167">
        <f t="shared" si="11"/>
        <v>0</v>
      </c>
      <c r="Z167">
        <v>166</v>
      </c>
    </row>
    <row r="168" spans="1:26" x14ac:dyDescent="0.2">
      <c r="A168" s="8">
        <v>46</v>
      </c>
      <c r="B168" s="9">
        <v>521</v>
      </c>
      <c r="C168" s="9">
        <v>2</v>
      </c>
      <c r="D168" s="9">
        <v>2</v>
      </c>
      <c r="E168" s="9">
        <v>1</v>
      </c>
      <c r="F168" s="9">
        <v>2</v>
      </c>
      <c r="G168" t="s">
        <v>173</v>
      </c>
      <c r="H168" s="9">
        <v>6</v>
      </c>
      <c r="I168" s="9">
        <v>9</v>
      </c>
      <c r="J168" s="9">
        <v>186</v>
      </c>
      <c r="K168" s="10">
        <v>66.6666666666666</v>
      </c>
      <c r="L168" s="10">
        <v>3.2258064516128995</v>
      </c>
      <c r="M168" s="10">
        <v>9.64320154291224E-2</v>
      </c>
      <c r="N168" s="1">
        <v>4.3427650867841703E-6</v>
      </c>
      <c r="O168" s="10">
        <v>5.3622336622962097</v>
      </c>
      <c r="P168" s="14">
        <v>33.451612903225801</v>
      </c>
      <c r="Q168" s="11">
        <v>52.163286993512102</v>
      </c>
      <c r="R168" s="10">
        <v>1.65</v>
      </c>
      <c r="S168" s="10">
        <v>22.16</v>
      </c>
      <c r="T168" s="10">
        <v>1.44</v>
      </c>
      <c r="V168" s="9">
        <f t="shared" si="8"/>
        <v>79</v>
      </c>
      <c r="W168" s="9">
        <f t="shared" si="9"/>
        <v>164</v>
      </c>
      <c r="X168">
        <f t="shared" si="10"/>
        <v>6</v>
      </c>
      <c r="Y168">
        <f t="shared" si="11"/>
        <v>0</v>
      </c>
      <c r="Z168">
        <v>167</v>
      </c>
    </row>
    <row r="169" spans="1:26" x14ac:dyDescent="0.2">
      <c r="A169" s="8">
        <v>46</v>
      </c>
      <c r="B169" s="9">
        <v>766</v>
      </c>
      <c r="C169" s="9">
        <v>2</v>
      </c>
      <c r="D169" s="9">
        <v>2</v>
      </c>
      <c r="E169" s="9">
        <v>1</v>
      </c>
      <c r="F169" s="9">
        <v>1</v>
      </c>
      <c r="G169" t="s">
        <v>174</v>
      </c>
      <c r="H169" s="9">
        <v>6</v>
      </c>
      <c r="I169" s="9">
        <v>14</v>
      </c>
      <c r="J169" s="9">
        <v>110</v>
      </c>
      <c r="K169" s="10">
        <v>42.857142857142797</v>
      </c>
      <c r="L169" s="10">
        <v>5.4545454545454497</v>
      </c>
      <c r="M169" s="10">
        <v>0.25101976780671398</v>
      </c>
      <c r="N169" s="1">
        <v>5.8166412965623403E-6</v>
      </c>
      <c r="O169" s="10">
        <v>5.2353277176571797</v>
      </c>
      <c r="P169" s="14">
        <v>21.729545454545399</v>
      </c>
      <c r="Q169" s="11">
        <v>56.340575577556201</v>
      </c>
      <c r="R169" s="10">
        <v>14.79</v>
      </c>
      <c r="S169" s="10">
        <v>23.47</v>
      </c>
      <c r="T169" s="10">
        <v>1.53</v>
      </c>
      <c r="V169" s="9">
        <f t="shared" si="8"/>
        <v>80</v>
      </c>
      <c r="W169" s="9">
        <f t="shared" si="9"/>
        <v>165</v>
      </c>
      <c r="X169">
        <f t="shared" si="10"/>
        <v>6</v>
      </c>
      <c r="Y169">
        <f t="shared" si="11"/>
        <v>0</v>
      </c>
      <c r="Z169">
        <v>168</v>
      </c>
    </row>
    <row r="170" spans="1:26" x14ac:dyDescent="0.2">
      <c r="A170" s="8">
        <v>46</v>
      </c>
      <c r="B170" s="9">
        <v>766</v>
      </c>
      <c r="C170" s="9">
        <v>2</v>
      </c>
      <c r="D170" s="9">
        <v>2</v>
      </c>
      <c r="E170" s="9">
        <v>1</v>
      </c>
      <c r="F170" s="9">
        <v>2</v>
      </c>
      <c r="G170" t="s">
        <v>124</v>
      </c>
      <c r="H170" s="9">
        <v>6</v>
      </c>
      <c r="I170" s="9">
        <v>111</v>
      </c>
      <c r="J170" s="9">
        <v>14</v>
      </c>
      <c r="K170" s="10">
        <v>5.4054054054053999</v>
      </c>
      <c r="L170" s="10">
        <v>42.857142857142797</v>
      </c>
      <c r="M170" s="10">
        <v>3.19829424307036</v>
      </c>
      <c r="N170" s="1">
        <v>6.1359079710455003E-6</v>
      </c>
      <c r="O170" s="10">
        <v>5.2121211627433697</v>
      </c>
      <c r="P170" s="14">
        <v>13.399999999999901</v>
      </c>
      <c r="Q170" s="11">
        <v>55.756324453089498</v>
      </c>
      <c r="R170" s="10">
        <v>0.37</v>
      </c>
      <c r="S170" s="10">
        <v>23.47</v>
      </c>
      <c r="T170" s="10">
        <v>1.53</v>
      </c>
      <c r="V170" s="9">
        <f t="shared" si="8"/>
        <v>80</v>
      </c>
      <c r="W170" s="9">
        <f t="shared" si="9"/>
        <v>166</v>
      </c>
      <c r="X170">
        <f t="shared" si="10"/>
        <v>6</v>
      </c>
      <c r="Y170">
        <f t="shared" si="11"/>
        <v>0</v>
      </c>
      <c r="Z170">
        <v>169</v>
      </c>
    </row>
    <row r="171" spans="1:26" x14ac:dyDescent="0.2">
      <c r="A171" s="8">
        <v>46</v>
      </c>
      <c r="B171" s="9">
        <v>1599</v>
      </c>
      <c r="C171" s="9">
        <v>2</v>
      </c>
      <c r="D171" s="9">
        <v>2</v>
      </c>
      <c r="E171" s="9">
        <v>1</v>
      </c>
      <c r="F171" s="9">
        <v>1</v>
      </c>
      <c r="G171" t="s">
        <v>125</v>
      </c>
      <c r="H171" s="9">
        <v>5</v>
      </c>
      <c r="I171" s="9">
        <v>49</v>
      </c>
      <c r="J171" s="9">
        <v>14</v>
      </c>
      <c r="K171" s="10">
        <v>10.204081632653001</v>
      </c>
      <c r="L171" s="10">
        <v>35.714285714285701</v>
      </c>
      <c r="M171" s="10">
        <v>1.34023758757234</v>
      </c>
      <c r="N171" s="1">
        <v>2.1328228141163998E-6</v>
      </c>
      <c r="O171" s="10">
        <v>5.6710452223976402</v>
      </c>
      <c r="P171" s="14">
        <v>26.647727272727199</v>
      </c>
      <c r="Q171" s="11">
        <v>90.250891279283906</v>
      </c>
      <c r="R171" s="10">
        <v>154.37</v>
      </c>
      <c r="S171" s="10">
        <v>21.19</v>
      </c>
      <c r="T171" s="10">
        <v>1.38</v>
      </c>
      <c r="V171" s="9">
        <f t="shared" si="8"/>
        <v>81</v>
      </c>
      <c r="W171" s="9">
        <f t="shared" si="9"/>
        <v>167</v>
      </c>
      <c r="X171">
        <f t="shared" si="10"/>
        <v>6</v>
      </c>
      <c r="Y171">
        <f t="shared" si="11"/>
        <v>0</v>
      </c>
      <c r="Z171">
        <v>170</v>
      </c>
    </row>
    <row r="172" spans="1:26" x14ac:dyDescent="0.2">
      <c r="A172" s="8">
        <v>46</v>
      </c>
      <c r="B172" s="9">
        <v>1599</v>
      </c>
      <c r="C172" s="9">
        <v>2</v>
      </c>
      <c r="D172" s="9">
        <v>2</v>
      </c>
      <c r="E172" s="9">
        <v>1</v>
      </c>
      <c r="F172" s="9">
        <v>2</v>
      </c>
      <c r="G172" t="s">
        <v>175</v>
      </c>
      <c r="H172" s="9">
        <v>5</v>
      </c>
      <c r="I172" s="9">
        <v>14</v>
      </c>
      <c r="J172" s="9">
        <v>49</v>
      </c>
      <c r="K172" s="10">
        <v>35.714285714285701</v>
      </c>
      <c r="L172" s="10">
        <v>10.204081632653001</v>
      </c>
      <c r="M172" s="10">
        <v>0.27709359605911299</v>
      </c>
      <c r="N172" s="1">
        <v>2.13282281411641E-6</v>
      </c>
      <c r="O172" s="10">
        <v>5.6710452223976402</v>
      </c>
      <c r="P172" s="14">
        <v>36.825396825396801</v>
      </c>
      <c r="Q172" s="11">
        <v>90.250891279283906</v>
      </c>
      <c r="R172" s="10">
        <v>1.39</v>
      </c>
      <c r="S172" s="10">
        <v>21.19</v>
      </c>
      <c r="T172" s="10">
        <v>1.38</v>
      </c>
      <c r="V172" s="9">
        <f t="shared" si="8"/>
        <v>81</v>
      </c>
      <c r="W172" s="9">
        <f t="shared" si="9"/>
        <v>168</v>
      </c>
      <c r="X172">
        <f t="shared" si="10"/>
        <v>6</v>
      </c>
      <c r="Y172">
        <f t="shared" si="11"/>
        <v>0</v>
      </c>
      <c r="Z172">
        <v>171</v>
      </c>
    </row>
    <row r="173" spans="1:26" x14ac:dyDescent="0.2">
      <c r="A173" s="8">
        <v>46</v>
      </c>
      <c r="B173" s="9">
        <v>2228</v>
      </c>
      <c r="C173" s="9">
        <v>2</v>
      </c>
      <c r="D173" s="9">
        <v>2</v>
      </c>
      <c r="E173" s="9">
        <v>1</v>
      </c>
      <c r="F173" s="9">
        <v>1</v>
      </c>
      <c r="G173" t="s">
        <v>176</v>
      </c>
      <c r="H173" s="9">
        <v>5</v>
      </c>
      <c r="I173" s="9">
        <v>140</v>
      </c>
      <c r="J173" s="9">
        <v>6</v>
      </c>
      <c r="K173" s="10">
        <v>3.5714285714285698</v>
      </c>
      <c r="L173" s="10">
        <v>83.3333333333333</v>
      </c>
      <c r="M173" s="10">
        <v>4.1020966271649906</v>
      </c>
      <c r="N173" s="1">
        <v>1.4930857550309699E-6</v>
      </c>
      <c r="O173" s="10">
        <v>5.8259152479566803</v>
      </c>
      <c r="P173" s="14">
        <v>20.314814814814799</v>
      </c>
      <c r="Q173" s="11">
        <v>74.007561352064798</v>
      </c>
      <c r="R173" s="10">
        <v>128.01</v>
      </c>
      <c r="S173" s="10">
        <v>24.25</v>
      </c>
      <c r="T173" s="10">
        <v>1.58</v>
      </c>
      <c r="V173" s="9">
        <f t="shared" si="8"/>
        <v>82</v>
      </c>
      <c r="W173" s="9">
        <f t="shared" si="9"/>
        <v>169</v>
      </c>
      <c r="X173">
        <f t="shared" si="10"/>
        <v>6</v>
      </c>
      <c r="Y173">
        <f t="shared" si="11"/>
        <v>0</v>
      </c>
      <c r="Z173">
        <v>172</v>
      </c>
    </row>
    <row r="174" spans="1:26" x14ac:dyDescent="0.2">
      <c r="A174" s="8">
        <v>46</v>
      </c>
      <c r="B174" s="9">
        <v>2228</v>
      </c>
      <c r="C174" s="9">
        <v>2</v>
      </c>
      <c r="D174" s="9">
        <v>2</v>
      </c>
      <c r="E174" s="9">
        <v>1</v>
      </c>
      <c r="F174" s="9">
        <v>2</v>
      </c>
      <c r="G174" t="s">
        <v>177</v>
      </c>
      <c r="H174" s="9">
        <v>5</v>
      </c>
      <c r="I174" s="9">
        <v>6</v>
      </c>
      <c r="J174" s="9">
        <v>140</v>
      </c>
      <c r="K174" s="10">
        <v>83.3333333333333</v>
      </c>
      <c r="L174" s="10">
        <v>3.5714285714285698</v>
      </c>
      <c r="M174" s="10">
        <v>3.1675641431738899E-2</v>
      </c>
      <c r="N174" s="1">
        <v>1.4930857550309699E-6</v>
      </c>
      <c r="O174" s="10">
        <v>5.8259152479566803</v>
      </c>
      <c r="P174" s="14">
        <v>112.75</v>
      </c>
      <c r="Q174" s="11">
        <v>74.007561352064798</v>
      </c>
      <c r="R174" s="10">
        <v>5.94</v>
      </c>
      <c r="S174" s="10">
        <v>24.25</v>
      </c>
      <c r="T174" s="10">
        <v>1.58</v>
      </c>
      <c r="V174" s="9">
        <f t="shared" si="8"/>
        <v>82</v>
      </c>
      <c r="W174" s="9">
        <f t="shared" si="9"/>
        <v>170</v>
      </c>
      <c r="X174">
        <f t="shared" si="10"/>
        <v>6</v>
      </c>
      <c r="Y174">
        <f t="shared" si="11"/>
        <v>0</v>
      </c>
      <c r="Z174">
        <v>173</v>
      </c>
    </row>
    <row r="175" spans="1:26" x14ac:dyDescent="0.2">
      <c r="A175" s="8">
        <v>48</v>
      </c>
      <c r="B175" s="9">
        <v>1007</v>
      </c>
      <c r="C175" s="9">
        <v>2</v>
      </c>
      <c r="D175" s="9">
        <v>2</v>
      </c>
      <c r="E175" s="9">
        <v>1</v>
      </c>
      <c r="F175" s="9">
        <v>1</v>
      </c>
      <c r="G175" t="s">
        <v>178</v>
      </c>
      <c r="H175" s="9">
        <v>4</v>
      </c>
      <c r="I175" s="9">
        <v>11</v>
      </c>
      <c r="J175" s="9">
        <v>33</v>
      </c>
      <c r="K175" s="10">
        <v>36.363636363636296</v>
      </c>
      <c r="L175" s="10">
        <v>12.1212121212121</v>
      </c>
      <c r="M175" s="10">
        <v>0.21446078431372498</v>
      </c>
      <c r="N175" s="1">
        <v>5.2301567476285097E-6</v>
      </c>
      <c r="O175" s="10">
        <v>5.2814852951461004</v>
      </c>
      <c r="P175" s="14">
        <v>56.519480519480503</v>
      </c>
      <c r="Q175" s="11">
        <v>105.780656452789</v>
      </c>
      <c r="R175" s="10">
        <v>3.56</v>
      </c>
      <c r="S175" s="10">
        <v>25.48</v>
      </c>
      <c r="T175" s="10">
        <v>1.66</v>
      </c>
      <c r="V175" s="9">
        <f t="shared" si="8"/>
        <v>83</v>
      </c>
      <c r="W175" s="9">
        <f t="shared" si="9"/>
        <v>171</v>
      </c>
      <c r="X175">
        <f t="shared" si="10"/>
        <v>6</v>
      </c>
      <c r="Y175">
        <f t="shared" si="11"/>
        <v>0</v>
      </c>
      <c r="Z175">
        <v>174</v>
      </c>
    </row>
    <row r="176" spans="1:26" x14ac:dyDescent="0.2">
      <c r="A176" s="8">
        <v>48</v>
      </c>
      <c r="B176" s="9">
        <v>1007</v>
      </c>
      <c r="C176" s="9">
        <v>2</v>
      </c>
      <c r="D176" s="9">
        <v>2</v>
      </c>
      <c r="E176" s="9">
        <v>1</v>
      </c>
      <c r="F176" s="9">
        <v>2</v>
      </c>
      <c r="G176" t="s">
        <v>179</v>
      </c>
      <c r="H176" s="9">
        <v>4</v>
      </c>
      <c r="I176" s="9">
        <v>32</v>
      </c>
      <c r="J176" s="9">
        <v>11</v>
      </c>
      <c r="K176" s="10">
        <v>12.5</v>
      </c>
      <c r="L176" s="10">
        <v>36.363636363636296</v>
      </c>
      <c r="M176" s="10">
        <v>0.85209981740718199</v>
      </c>
      <c r="N176" s="1">
        <v>4.6040678741971001E-6</v>
      </c>
      <c r="O176" s="10">
        <v>5.3368582825287803</v>
      </c>
      <c r="P176" s="14">
        <v>42.675324675324603</v>
      </c>
      <c r="Q176" s="11">
        <v>109.26765823234599</v>
      </c>
      <c r="R176" s="10">
        <v>42.33</v>
      </c>
      <c r="S176" s="10">
        <v>25.48</v>
      </c>
      <c r="T176" s="10">
        <v>1.66</v>
      </c>
      <c r="V176" s="9">
        <f t="shared" si="8"/>
        <v>83</v>
      </c>
      <c r="W176" s="9">
        <f t="shared" si="9"/>
        <v>172</v>
      </c>
      <c r="X176">
        <f t="shared" si="10"/>
        <v>6</v>
      </c>
      <c r="Y176">
        <f t="shared" si="11"/>
        <v>0</v>
      </c>
      <c r="Z176">
        <v>175</v>
      </c>
    </row>
    <row r="177" spans="1:26" x14ac:dyDescent="0.2">
      <c r="A177" s="8">
        <v>49</v>
      </c>
      <c r="B177" s="9">
        <v>61</v>
      </c>
      <c r="C177" s="9">
        <v>2</v>
      </c>
      <c r="D177" s="9">
        <v>2</v>
      </c>
      <c r="E177" s="9">
        <v>1</v>
      </c>
      <c r="F177" s="9">
        <v>1</v>
      </c>
      <c r="G177" t="s">
        <v>55</v>
      </c>
      <c r="H177" s="9">
        <v>4</v>
      </c>
      <c r="I177" s="9">
        <v>32</v>
      </c>
      <c r="J177" s="9">
        <v>13</v>
      </c>
      <c r="K177" s="10">
        <v>12.5</v>
      </c>
      <c r="L177" s="10">
        <v>30.769230769230699</v>
      </c>
      <c r="M177" s="10">
        <v>0.85261875761266703</v>
      </c>
      <c r="N177" s="1">
        <v>9.8402646045908601E-6</v>
      </c>
      <c r="O177" s="10">
        <v>5.0069932232385099</v>
      </c>
      <c r="P177" s="14">
        <v>36.087912087912002</v>
      </c>
      <c r="Q177" s="11">
        <v>91.458105449875802</v>
      </c>
      <c r="R177" s="10">
        <v>1.4</v>
      </c>
      <c r="S177" s="10">
        <v>25.44</v>
      </c>
      <c r="T177" s="10">
        <v>1.66</v>
      </c>
      <c r="V177" s="9">
        <f t="shared" si="8"/>
        <v>84</v>
      </c>
      <c r="W177" s="9">
        <f t="shared" si="9"/>
        <v>173</v>
      </c>
      <c r="X177">
        <f t="shared" si="10"/>
        <v>6</v>
      </c>
      <c r="Y177">
        <f t="shared" si="11"/>
        <v>0</v>
      </c>
      <c r="Z177">
        <v>176</v>
      </c>
    </row>
    <row r="178" spans="1:26" x14ac:dyDescent="0.2">
      <c r="A178" s="8">
        <v>49</v>
      </c>
      <c r="B178" s="9">
        <v>61</v>
      </c>
      <c r="C178" s="9">
        <v>2</v>
      </c>
      <c r="D178" s="9">
        <v>2</v>
      </c>
      <c r="E178" s="9">
        <v>1</v>
      </c>
      <c r="F178" s="9">
        <v>2</v>
      </c>
      <c r="G178" t="s">
        <v>180</v>
      </c>
      <c r="H178" s="9">
        <v>4</v>
      </c>
      <c r="I178" s="9">
        <v>13</v>
      </c>
      <c r="J178" s="9">
        <v>32</v>
      </c>
      <c r="K178" s="10">
        <v>30.769230769230699</v>
      </c>
      <c r="L178" s="10">
        <v>12.5</v>
      </c>
      <c r="M178" s="10">
        <v>0.27565084226646197</v>
      </c>
      <c r="N178" s="1">
        <v>9.8402646045908702E-6</v>
      </c>
      <c r="O178" s="10">
        <v>5.0069932232385099</v>
      </c>
      <c r="P178" s="14">
        <v>45.3472222222222</v>
      </c>
      <c r="Q178" s="11">
        <v>91.458105449875802</v>
      </c>
      <c r="R178" s="10">
        <v>3.64</v>
      </c>
      <c r="S178" s="10">
        <v>25.44</v>
      </c>
      <c r="T178" s="10">
        <v>1.66</v>
      </c>
      <c r="V178" s="9">
        <f t="shared" si="8"/>
        <v>84</v>
      </c>
      <c r="W178" s="9">
        <f t="shared" si="9"/>
        <v>174</v>
      </c>
      <c r="X178">
        <f t="shared" si="10"/>
        <v>6</v>
      </c>
      <c r="Y178">
        <f t="shared" si="11"/>
        <v>0</v>
      </c>
      <c r="Z178">
        <v>177</v>
      </c>
    </row>
    <row r="179" spans="1:26" x14ac:dyDescent="0.2">
      <c r="A179" s="8">
        <v>49</v>
      </c>
      <c r="B179" s="9">
        <v>241</v>
      </c>
      <c r="C179" s="9">
        <v>2</v>
      </c>
      <c r="D179" s="9">
        <v>2</v>
      </c>
      <c r="E179" s="9">
        <v>1</v>
      </c>
      <c r="F179" s="9">
        <v>1</v>
      </c>
      <c r="G179" t="s">
        <v>181</v>
      </c>
      <c r="H179" s="9">
        <v>4</v>
      </c>
      <c r="I179" s="9">
        <v>14</v>
      </c>
      <c r="J179" s="9">
        <v>26</v>
      </c>
      <c r="K179" s="10">
        <v>28.571428571428498</v>
      </c>
      <c r="L179" s="10">
        <v>15.3846153846153</v>
      </c>
      <c r="M179" s="10">
        <v>0.30571690614490898</v>
      </c>
      <c r="N179" s="1">
        <v>5.77237537474871E-6</v>
      </c>
      <c r="O179" s="10">
        <v>5.2386454347023701</v>
      </c>
      <c r="P179" s="14">
        <v>50.323076923076897</v>
      </c>
      <c r="Q179" s="11">
        <v>105.34163686570299</v>
      </c>
      <c r="R179" s="10">
        <v>1.64</v>
      </c>
      <c r="S179" s="10">
        <v>23.69</v>
      </c>
      <c r="T179" s="10">
        <v>1.54</v>
      </c>
      <c r="V179" s="9">
        <f t="shared" si="8"/>
        <v>85</v>
      </c>
      <c r="W179" s="9">
        <f t="shared" si="9"/>
        <v>175</v>
      </c>
      <c r="X179">
        <f t="shared" si="10"/>
        <v>6</v>
      </c>
      <c r="Y179">
        <f t="shared" si="11"/>
        <v>0</v>
      </c>
      <c r="Z179">
        <v>178</v>
      </c>
    </row>
    <row r="180" spans="1:26" x14ac:dyDescent="0.2">
      <c r="A180" s="8">
        <v>49</v>
      </c>
      <c r="B180" s="9">
        <v>241</v>
      </c>
      <c r="C180" s="9">
        <v>2</v>
      </c>
      <c r="D180" s="9">
        <v>2</v>
      </c>
      <c r="E180" s="9">
        <v>1</v>
      </c>
      <c r="F180" s="9">
        <v>2</v>
      </c>
      <c r="G180" t="s">
        <v>163</v>
      </c>
      <c r="H180" s="9">
        <v>4</v>
      </c>
      <c r="I180" s="9">
        <v>26</v>
      </c>
      <c r="J180" s="9">
        <v>14</v>
      </c>
      <c r="K180" s="10">
        <v>15.3846153846153</v>
      </c>
      <c r="L180" s="10">
        <v>28.571428571428498</v>
      </c>
      <c r="M180" s="10">
        <v>0.67011879378617101</v>
      </c>
      <c r="N180" s="1">
        <v>5.7723753747487202E-6</v>
      </c>
      <c r="O180" s="10">
        <v>5.2386454347023701</v>
      </c>
      <c r="P180" s="14">
        <v>42.636363636363598</v>
      </c>
      <c r="Q180" s="11">
        <v>105.34163686570299</v>
      </c>
      <c r="R180" s="10">
        <v>57.39</v>
      </c>
      <c r="S180" s="10">
        <v>23.69</v>
      </c>
      <c r="T180" s="10">
        <v>1.54</v>
      </c>
      <c r="V180" s="9">
        <f t="shared" si="8"/>
        <v>85</v>
      </c>
      <c r="W180" s="9">
        <f t="shared" si="9"/>
        <v>176</v>
      </c>
      <c r="X180">
        <f t="shared" si="10"/>
        <v>6</v>
      </c>
      <c r="Y180">
        <f t="shared" si="11"/>
        <v>0</v>
      </c>
      <c r="Z180">
        <v>179</v>
      </c>
    </row>
    <row r="181" spans="1:26" x14ac:dyDescent="0.2">
      <c r="A181" s="8">
        <v>49</v>
      </c>
      <c r="B181" s="9">
        <v>504</v>
      </c>
      <c r="C181" s="9">
        <v>2</v>
      </c>
      <c r="D181" s="9">
        <v>2</v>
      </c>
      <c r="E181" s="9">
        <v>1</v>
      </c>
      <c r="F181" s="9">
        <v>1</v>
      </c>
      <c r="G181" t="s">
        <v>182</v>
      </c>
      <c r="H181" s="9">
        <v>4</v>
      </c>
      <c r="I181" s="9">
        <v>15</v>
      </c>
      <c r="J181" s="9">
        <v>21</v>
      </c>
      <c r="K181" s="10">
        <v>26.6666666666666</v>
      </c>
      <c r="L181" s="10">
        <v>19.047619047618998</v>
      </c>
      <c r="M181" s="10">
        <v>0.33577533577533503</v>
      </c>
      <c r="N181" s="1">
        <v>3.1766860697143899E-6</v>
      </c>
      <c r="O181" s="10">
        <v>5.4980257014231499</v>
      </c>
      <c r="P181" s="14">
        <v>56.727272727272698</v>
      </c>
      <c r="Q181" s="11">
        <v>122.647847915592</v>
      </c>
      <c r="R181" s="10">
        <v>0.47</v>
      </c>
      <c r="S181" s="10">
        <v>22.12</v>
      </c>
      <c r="T181" s="10">
        <v>1.44</v>
      </c>
      <c r="V181" s="9">
        <f t="shared" si="8"/>
        <v>86</v>
      </c>
      <c r="W181" s="9">
        <f t="shared" si="9"/>
        <v>177</v>
      </c>
      <c r="X181">
        <f t="shared" si="10"/>
        <v>6</v>
      </c>
      <c r="Y181">
        <f t="shared" si="11"/>
        <v>0</v>
      </c>
      <c r="Z181">
        <v>180</v>
      </c>
    </row>
    <row r="182" spans="1:26" x14ac:dyDescent="0.2">
      <c r="A182" s="8">
        <v>49</v>
      </c>
      <c r="B182" s="9">
        <v>504</v>
      </c>
      <c r="C182" s="9">
        <v>2</v>
      </c>
      <c r="D182" s="9">
        <v>2</v>
      </c>
      <c r="E182" s="9">
        <v>1</v>
      </c>
      <c r="F182" s="9">
        <v>2</v>
      </c>
      <c r="G182" t="s">
        <v>183</v>
      </c>
      <c r="H182" s="9">
        <v>4</v>
      </c>
      <c r="I182" s="9">
        <v>21</v>
      </c>
      <c r="J182" s="9">
        <v>15</v>
      </c>
      <c r="K182" s="10">
        <v>19.047619047618998</v>
      </c>
      <c r="L182" s="10">
        <v>26.6666666666666</v>
      </c>
      <c r="M182" s="10">
        <v>0.51797684338817707</v>
      </c>
      <c r="N182" s="1">
        <v>3.1766860697143802E-6</v>
      </c>
      <c r="O182" s="10">
        <v>5.4980257014231499</v>
      </c>
      <c r="P182" s="14">
        <v>51.482352941176401</v>
      </c>
      <c r="Q182" s="11">
        <v>122.647847915592</v>
      </c>
      <c r="R182" s="10">
        <v>0.6</v>
      </c>
      <c r="S182" s="10">
        <v>22.12</v>
      </c>
      <c r="T182" s="10">
        <v>1.44</v>
      </c>
      <c r="V182" s="9">
        <f t="shared" si="8"/>
        <v>86</v>
      </c>
      <c r="W182" s="9">
        <f t="shared" si="9"/>
        <v>178</v>
      </c>
      <c r="X182">
        <f t="shared" si="10"/>
        <v>6</v>
      </c>
      <c r="Y182">
        <f t="shared" si="11"/>
        <v>0</v>
      </c>
      <c r="Z182">
        <v>181</v>
      </c>
    </row>
    <row r="183" spans="1:26" x14ac:dyDescent="0.2">
      <c r="A183" s="8">
        <v>49</v>
      </c>
      <c r="B183" s="9">
        <v>1030</v>
      </c>
      <c r="C183" s="9">
        <v>3</v>
      </c>
      <c r="D183" s="9">
        <v>2</v>
      </c>
      <c r="E183" s="9">
        <v>2</v>
      </c>
      <c r="F183" s="9">
        <v>1</v>
      </c>
      <c r="G183" t="s">
        <v>184</v>
      </c>
      <c r="H183" s="9">
        <v>4</v>
      </c>
      <c r="I183" s="9">
        <v>5</v>
      </c>
      <c r="J183" s="9">
        <v>100</v>
      </c>
      <c r="K183" s="10">
        <v>80</v>
      </c>
      <c r="L183" s="10">
        <v>4</v>
      </c>
      <c r="M183" s="10">
        <v>3.12793243665936E-2</v>
      </c>
      <c r="N183" s="1">
        <v>7.7929009723426402E-6</v>
      </c>
      <c r="O183" s="10">
        <v>5.1083008424876697</v>
      </c>
      <c r="P183" s="14">
        <v>127.88</v>
      </c>
      <c r="Q183" s="11">
        <v>76.356372439124002</v>
      </c>
      <c r="R183" s="10">
        <v>2.96</v>
      </c>
      <c r="S183" s="10">
        <v>21.1</v>
      </c>
      <c r="T183" s="10">
        <v>1.37</v>
      </c>
      <c r="V183" s="9">
        <f t="shared" si="8"/>
        <v>87</v>
      </c>
      <c r="W183" s="9">
        <f t="shared" si="9"/>
        <v>179</v>
      </c>
      <c r="X183">
        <f t="shared" si="10"/>
        <v>6</v>
      </c>
      <c r="Y183">
        <f t="shared" si="11"/>
        <v>0</v>
      </c>
      <c r="Z183">
        <v>182</v>
      </c>
    </row>
    <row r="184" spans="1:26" x14ac:dyDescent="0.2">
      <c r="A184" s="8">
        <v>49</v>
      </c>
      <c r="B184" s="9">
        <v>1030</v>
      </c>
      <c r="C184" s="9">
        <v>3</v>
      </c>
      <c r="D184" s="9">
        <v>2</v>
      </c>
      <c r="E184" s="9">
        <v>2</v>
      </c>
      <c r="F184" s="9">
        <v>1</v>
      </c>
      <c r="G184" t="s">
        <v>185</v>
      </c>
      <c r="H184" s="9">
        <v>2</v>
      </c>
      <c r="I184" s="9">
        <v>2</v>
      </c>
      <c r="J184" s="9">
        <v>100</v>
      </c>
      <c r="K184" s="10">
        <v>100</v>
      </c>
      <c r="L184" s="10">
        <v>2</v>
      </c>
      <c r="M184" s="10">
        <v>0</v>
      </c>
      <c r="N184" s="1">
        <v>1.8220447538362201E-3</v>
      </c>
      <c r="O184" s="10">
        <v>2.7394409599067</v>
      </c>
      <c r="P184" s="14" t="s">
        <v>186</v>
      </c>
      <c r="Q184" s="11">
        <v>35.241537857831403</v>
      </c>
      <c r="R184" s="10">
        <v>3.87</v>
      </c>
      <c r="S184" s="10">
        <v>21.1</v>
      </c>
      <c r="T184" s="10">
        <v>1.37</v>
      </c>
      <c r="V184" s="9">
        <f t="shared" si="8"/>
        <v>87</v>
      </c>
      <c r="W184" s="9">
        <f t="shared" si="9"/>
        <v>179</v>
      </c>
      <c r="X184">
        <f t="shared" si="10"/>
        <v>6</v>
      </c>
      <c r="Y184">
        <f t="shared" si="11"/>
        <v>0</v>
      </c>
      <c r="Z184">
        <v>183</v>
      </c>
    </row>
    <row r="185" spans="1:26" x14ac:dyDescent="0.2">
      <c r="A185" s="8">
        <v>49</v>
      </c>
      <c r="B185" s="9">
        <v>1030</v>
      </c>
      <c r="C185" s="9">
        <v>3</v>
      </c>
      <c r="D185" s="9">
        <v>2</v>
      </c>
      <c r="E185" s="9">
        <v>1</v>
      </c>
      <c r="F185" s="9">
        <v>2</v>
      </c>
      <c r="G185" t="s">
        <v>154</v>
      </c>
      <c r="H185" s="9">
        <v>6</v>
      </c>
      <c r="I185" s="9">
        <v>101</v>
      </c>
      <c r="J185" s="9">
        <v>7</v>
      </c>
      <c r="K185" s="10">
        <v>5.9405940594059405</v>
      </c>
      <c r="L185" s="10">
        <v>85.714285714285694</v>
      </c>
      <c r="M185" s="10">
        <v>2.88753799392097</v>
      </c>
      <c r="N185" s="1">
        <v>9.7439733810855401E-9</v>
      </c>
      <c r="O185" s="10">
        <v>8.0112639111298591</v>
      </c>
      <c r="P185" s="14">
        <v>29.684210526315699</v>
      </c>
      <c r="Q185" s="11">
        <v>134.68437212205399</v>
      </c>
      <c r="R185" s="10">
        <v>3.34</v>
      </c>
      <c r="S185" s="10">
        <v>21.1</v>
      </c>
      <c r="T185" s="10">
        <v>1.37</v>
      </c>
      <c r="V185" s="9">
        <f t="shared" si="8"/>
        <v>87</v>
      </c>
      <c r="W185" s="9">
        <f t="shared" si="9"/>
        <v>180</v>
      </c>
      <c r="X185">
        <f t="shared" si="10"/>
        <v>6</v>
      </c>
      <c r="Y185">
        <f t="shared" si="11"/>
        <v>0</v>
      </c>
      <c r="Z185">
        <v>184</v>
      </c>
    </row>
    <row r="186" spans="1:26" x14ac:dyDescent="0.2">
      <c r="A186" s="8">
        <v>49</v>
      </c>
      <c r="B186" s="9">
        <v>1032</v>
      </c>
      <c r="C186" s="9">
        <v>2</v>
      </c>
      <c r="D186" s="9">
        <v>2</v>
      </c>
      <c r="E186" s="9">
        <v>1</v>
      </c>
      <c r="F186" s="9">
        <v>1</v>
      </c>
      <c r="G186" t="s">
        <v>187</v>
      </c>
      <c r="H186" s="9">
        <v>14</v>
      </c>
      <c r="I186" s="9">
        <v>209</v>
      </c>
      <c r="J186" s="9">
        <v>50</v>
      </c>
      <c r="K186" s="10">
        <v>6.6985645933014304</v>
      </c>
      <c r="L186" s="10">
        <v>28.000000000000004</v>
      </c>
      <c r="M186" s="10">
        <v>6.0055435786880196</v>
      </c>
      <c r="N186" s="1">
        <v>2.6827618812737302E-6</v>
      </c>
      <c r="O186" s="10">
        <v>5.5714178730746697</v>
      </c>
      <c r="P186" s="14">
        <v>4.6623589743589697</v>
      </c>
      <c r="Q186" s="11">
        <v>36.502248108158902</v>
      </c>
      <c r="R186" s="10">
        <v>2.1</v>
      </c>
      <c r="S186" s="10">
        <v>22.37</v>
      </c>
      <c r="T186" s="10">
        <v>1.46</v>
      </c>
      <c r="V186" s="9">
        <f t="shared" si="8"/>
        <v>88</v>
      </c>
      <c r="W186" s="9">
        <f t="shared" si="9"/>
        <v>181</v>
      </c>
      <c r="X186">
        <f t="shared" si="10"/>
        <v>6</v>
      </c>
      <c r="Y186">
        <f t="shared" si="11"/>
        <v>0</v>
      </c>
      <c r="Z186">
        <v>185</v>
      </c>
    </row>
    <row r="187" spans="1:26" x14ac:dyDescent="0.2">
      <c r="A187" s="8">
        <v>49</v>
      </c>
      <c r="B187" s="9">
        <v>1032</v>
      </c>
      <c r="C187" s="9">
        <v>2</v>
      </c>
      <c r="D187" s="9">
        <v>2</v>
      </c>
      <c r="E187" s="9">
        <v>1</v>
      </c>
      <c r="F187" s="9">
        <v>2</v>
      </c>
      <c r="G187" t="s">
        <v>134</v>
      </c>
      <c r="H187" s="9">
        <v>14</v>
      </c>
      <c r="I187" s="9">
        <v>50</v>
      </c>
      <c r="J187" s="9">
        <v>208</v>
      </c>
      <c r="K187" s="10">
        <v>28.000000000000004</v>
      </c>
      <c r="L187" s="10">
        <v>6.7307692307692308</v>
      </c>
      <c r="M187" s="10">
        <v>1.16542570411136</v>
      </c>
      <c r="N187" s="1">
        <v>2.5301617490874502E-6</v>
      </c>
      <c r="O187" s="10">
        <v>5.59685171420334</v>
      </c>
      <c r="P187" s="14">
        <v>5.7753739316239301</v>
      </c>
      <c r="Q187" s="11">
        <v>36.7735974329537</v>
      </c>
      <c r="R187" s="10">
        <v>1.2</v>
      </c>
      <c r="S187" s="10">
        <v>22.37</v>
      </c>
      <c r="T187" s="10">
        <v>1.46</v>
      </c>
      <c r="V187" s="9">
        <f t="shared" si="8"/>
        <v>88</v>
      </c>
      <c r="W187" s="9">
        <f t="shared" si="9"/>
        <v>182</v>
      </c>
      <c r="X187">
        <f t="shared" si="10"/>
        <v>6</v>
      </c>
      <c r="Y187">
        <f t="shared" si="11"/>
        <v>0</v>
      </c>
      <c r="Z187">
        <v>186</v>
      </c>
    </row>
    <row r="188" spans="1:26" x14ac:dyDescent="0.2">
      <c r="A188" s="8">
        <v>49</v>
      </c>
      <c r="B188" s="9">
        <v>1218</v>
      </c>
      <c r="C188" s="9">
        <v>2</v>
      </c>
      <c r="D188" s="9">
        <v>2</v>
      </c>
      <c r="E188" s="9">
        <v>1</v>
      </c>
      <c r="F188" s="9">
        <v>1</v>
      </c>
      <c r="G188" t="s">
        <v>148</v>
      </c>
      <c r="H188" s="9">
        <v>7</v>
      </c>
      <c r="I188" s="9">
        <v>105</v>
      </c>
      <c r="J188" s="9">
        <v>22</v>
      </c>
      <c r="K188" s="10">
        <v>6.6666666666666599</v>
      </c>
      <c r="L188" s="10">
        <v>31.818181818181802</v>
      </c>
      <c r="M188" s="10">
        <v>2.9923664122137401</v>
      </c>
      <c r="N188" s="1">
        <v>6.2600636464191899E-6</v>
      </c>
      <c r="O188" s="10">
        <v>5.2034212512706999</v>
      </c>
      <c r="P188" s="14">
        <v>10.6331168831168</v>
      </c>
      <c r="Q188" s="11">
        <v>49.915022357463698</v>
      </c>
      <c r="R188" s="10">
        <v>26.78</v>
      </c>
      <c r="S188" s="10">
        <v>21.31</v>
      </c>
      <c r="T188" s="10">
        <v>1.39</v>
      </c>
      <c r="V188" s="9">
        <f t="shared" si="8"/>
        <v>89</v>
      </c>
      <c r="W188" s="9">
        <f t="shared" si="9"/>
        <v>183</v>
      </c>
      <c r="X188">
        <f t="shared" si="10"/>
        <v>6</v>
      </c>
      <c r="Y188">
        <f t="shared" si="11"/>
        <v>0</v>
      </c>
      <c r="Z188">
        <v>187</v>
      </c>
    </row>
    <row r="189" spans="1:26" x14ac:dyDescent="0.2">
      <c r="A189" s="8">
        <v>49</v>
      </c>
      <c r="B189" s="9">
        <v>1218</v>
      </c>
      <c r="C189" s="9">
        <v>2</v>
      </c>
      <c r="D189" s="9">
        <v>2</v>
      </c>
      <c r="E189" s="9">
        <v>1</v>
      </c>
      <c r="F189" s="9">
        <v>2</v>
      </c>
      <c r="G189" t="s">
        <v>188</v>
      </c>
      <c r="H189" s="9">
        <v>7</v>
      </c>
      <c r="I189" s="9">
        <v>22</v>
      </c>
      <c r="J189" s="9">
        <v>103</v>
      </c>
      <c r="K189" s="10">
        <v>31.818181818181802</v>
      </c>
      <c r="L189" s="10">
        <v>6.7961165048543606</v>
      </c>
      <c r="M189" s="10">
        <v>0.46963055729492797</v>
      </c>
      <c r="N189" s="1">
        <v>5.4940852661137296E-6</v>
      </c>
      <c r="O189" s="10">
        <v>5.26010460477797</v>
      </c>
      <c r="P189" s="14">
        <v>14.4711974110032</v>
      </c>
      <c r="Q189" s="11">
        <v>51.086695493024898</v>
      </c>
      <c r="R189" s="10">
        <v>2.17</v>
      </c>
      <c r="S189" s="10">
        <v>21.31</v>
      </c>
      <c r="T189" s="10">
        <v>1.39</v>
      </c>
      <c r="V189" s="9">
        <f t="shared" si="8"/>
        <v>89</v>
      </c>
      <c r="W189" s="9">
        <f t="shared" si="9"/>
        <v>184</v>
      </c>
      <c r="X189">
        <f t="shared" si="10"/>
        <v>6</v>
      </c>
      <c r="Y189">
        <f t="shared" si="11"/>
        <v>0</v>
      </c>
      <c r="Z189">
        <v>188</v>
      </c>
    </row>
    <row r="190" spans="1:26" x14ac:dyDescent="0.2">
      <c r="A190" s="8">
        <v>50</v>
      </c>
      <c r="B190" s="9">
        <v>28</v>
      </c>
      <c r="C190" s="9">
        <v>2</v>
      </c>
      <c r="D190" s="9">
        <v>2</v>
      </c>
      <c r="E190" s="9">
        <v>1</v>
      </c>
      <c r="F190" s="9">
        <v>1</v>
      </c>
      <c r="G190" t="s">
        <v>189</v>
      </c>
      <c r="H190" s="9">
        <v>4</v>
      </c>
      <c r="I190" s="9">
        <v>4</v>
      </c>
      <c r="J190" s="9">
        <v>155</v>
      </c>
      <c r="K190" s="10">
        <v>100</v>
      </c>
      <c r="L190" s="10">
        <v>2.5806451612903203</v>
      </c>
      <c r="M190" s="10">
        <v>0</v>
      </c>
      <c r="N190" s="1">
        <v>9.4130912665883703E-6</v>
      </c>
      <c r="O190" s="10">
        <v>5.0262677304988799</v>
      </c>
      <c r="P190" s="14" t="s">
        <v>190</v>
      </c>
      <c r="Q190" s="11">
        <v>61.282271067728203</v>
      </c>
      <c r="R190" s="10">
        <v>3.26</v>
      </c>
      <c r="S190" s="10">
        <v>20.49</v>
      </c>
      <c r="T190" s="10">
        <v>1.33</v>
      </c>
      <c r="V190" s="9">
        <f t="shared" si="8"/>
        <v>90</v>
      </c>
      <c r="W190" s="9">
        <f t="shared" si="9"/>
        <v>185</v>
      </c>
      <c r="X190">
        <f t="shared" si="10"/>
        <v>6</v>
      </c>
      <c r="Y190">
        <f t="shared" si="11"/>
        <v>0</v>
      </c>
      <c r="Z190">
        <v>189</v>
      </c>
    </row>
    <row r="191" spans="1:26" x14ac:dyDescent="0.2">
      <c r="A191" s="8">
        <v>50</v>
      </c>
      <c r="B191" s="9">
        <v>28</v>
      </c>
      <c r="C191" s="9">
        <v>2</v>
      </c>
      <c r="D191" s="9">
        <v>2</v>
      </c>
      <c r="E191" s="9">
        <v>1</v>
      </c>
      <c r="F191" s="9">
        <v>2</v>
      </c>
      <c r="G191" t="s">
        <v>70</v>
      </c>
      <c r="H191" s="9">
        <v>4</v>
      </c>
      <c r="I191" s="9">
        <v>155</v>
      </c>
      <c r="J191" s="9">
        <v>4</v>
      </c>
      <c r="K191" s="10">
        <v>2.5806451612903203</v>
      </c>
      <c r="L191" s="10">
        <v>100</v>
      </c>
      <c r="M191" s="10">
        <v>4.5854843607652498</v>
      </c>
      <c r="N191" s="1">
        <v>9.4130912665883804E-6</v>
      </c>
      <c r="O191" s="10">
        <v>5.0262677304988799</v>
      </c>
      <c r="P191" s="14">
        <v>21.807947019867498</v>
      </c>
      <c r="Q191" s="11">
        <v>61.282271067728203</v>
      </c>
      <c r="R191" s="10">
        <v>6.59</v>
      </c>
      <c r="S191" s="10">
        <v>20.49</v>
      </c>
      <c r="T191" s="10">
        <v>1.33</v>
      </c>
      <c r="V191" s="9">
        <f t="shared" si="8"/>
        <v>90</v>
      </c>
      <c r="W191" s="9">
        <f t="shared" si="9"/>
        <v>186</v>
      </c>
      <c r="X191">
        <f t="shared" si="10"/>
        <v>6</v>
      </c>
      <c r="Y191">
        <f t="shared" si="11"/>
        <v>0</v>
      </c>
      <c r="Z191">
        <v>190</v>
      </c>
    </row>
    <row r="192" spans="1:26" x14ac:dyDescent="0.2">
      <c r="A192" s="8">
        <v>51</v>
      </c>
      <c r="B192" s="9">
        <v>1469</v>
      </c>
      <c r="C192" s="9">
        <v>2</v>
      </c>
      <c r="D192" s="9">
        <v>2</v>
      </c>
      <c r="E192" s="9">
        <v>1</v>
      </c>
      <c r="F192" s="9">
        <v>1</v>
      </c>
      <c r="G192" t="s">
        <v>191</v>
      </c>
      <c r="H192" s="9">
        <v>6</v>
      </c>
      <c r="I192" s="9">
        <v>60</v>
      </c>
      <c r="J192" s="9">
        <v>18</v>
      </c>
      <c r="K192" s="10">
        <v>10</v>
      </c>
      <c r="L192" s="10">
        <v>33.3333333333333</v>
      </c>
      <c r="M192" s="10">
        <v>1.64684354986276</v>
      </c>
      <c r="N192" s="1">
        <v>8.8311873431080905E-7</v>
      </c>
      <c r="O192" s="10">
        <v>6.0539809020969804</v>
      </c>
      <c r="P192" s="14">
        <v>20.240740740740701</v>
      </c>
      <c r="Q192" s="11">
        <v>83.644641989616105</v>
      </c>
      <c r="R192" s="10">
        <v>9.52</v>
      </c>
      <c r="S192" s="10">
        <v>23.31</v>
      </c>
      <c r="T192" s="10">
        <v>1.52</v>
      </c>
      <c r="V192" s="9">
        <f t="shared" si="8"/>
        <v>91</v>
      </c>
      <c r="W192" s="9">
        <f t="shared" si="9"/>
        <v>187</v>
      </c>
      <c r="X192">
        <f t="shared" si="10"/>
        <v>6</v>
      </c>
      <c r="Y192">
        <f t="shared" si="11"/>
        <v>0</v>
      </c>
      <c r="Z192">
        <v>191</v>
      </c>
    </row>
    <row r="193" spans="1:26" x14ac:dyDescent="0.2">
      <c r="A193" s="8">
        <v>51</v>
      </c>
      <c r="B193" s="9">
        <v>1469</v>
      </c>
      <c r="C193" s="9">
        <v>2</v>
      </c>
      <c r="D193" s="9">
        <v>2</v>
      </c>
      <c r="E193" s="9">
        <v>1</v>
      </c>
      <c r="F193" s="9">
        <v>2</v>
      </c>
      <c r="G193" t="s">
        <v>192</v>
      </c>
      <c r="H193" s="9">
        <v>6</v>
      </c>
      <c r="I193" s="9">
        <v>18</v>
      </c>
      <c r="J193" s="9">
        <v>60</v>
      </c>
      <c r="K193" s="10">
        <v>33.3333333333333</v>
      </c>
      <c r="L193" s="10">
        <v>10</v>
      </c>
      <c r="M193" s="10">
        <v>0.37071362372567102</v>
      </c>
      <c r="N193" s="1">
        <v>8.8311873431080799E-7</v>
      </c>
      <c r="O193" s="10">
        <v>6.0539809020969804</v>
      </c>
      <c r="P193" s="14">
        <v>26.975000000000001</v>
      </c>
      <c r="Q193" s="11">
        <v>83.644641989616105</v>
      </c>
      <c r="R193" s="10">
        <v>0.33</v>
      </c>
      <c r="S193" s="10">
        <v>23.31</v>
      </c>
      <c r="T193" s="10">
        <v>1.52</v>
      </c>
      <c r="V193" s="9">
        <f t="shared" si="8"/>
        <v>91</v>
      </c>
      <c r="W193" s="9">
        <f t="shared" si="9"/>
        <v>188</v>
      </c>
      <c r="X193">
        <f t="shared" si="10"/>
        <v>6</v>
      </c>
      <c r="Y193">
        <f t="shared" si="11"/>
        <v>0</v>
      </c>
      <c r="Z193">
        <v>192</v>
      </c>
    </row>
    <row r="194" spans="1:26" x14ac:dyDescent="0.2">
      <c r="A194" s="8">
        <v>51</v>
      </c>
      <c r="B194" s="9">
        <v>2352</v>
      </c>
      <c r="C194" s="9">
        <v>3</v>
      </c>
      <c r="D194" s="9">
        <v>3</v>
      </c>
      <c r="E194" s="9">
        <v>1</v>
      </c>
      <c r="F194" s="9">
        <v>1</v>
      </c>
      <c r="G194" t="s">
        <v>193</v>
      </c>
      <c r="H194" s="9">
        <v>2</v>
      </c>
      <c r="I194" s="9">
        <v>2</v>
      </c>
      <c r="J194" s="9">
        <v>6</v>
      </c>
      <c r="K194" s="10">
        <v>100</v>
      </c>
      <c r="L194" s="10">
        <v>33.3333333333333</v>
      </c>
      <c r="M194" s="10">
        <v>0</v>
      </c>
      <c r="N194" s="1">
        <v>5.5213477388976704E-6</v>
      </c>
      <c r="O194" s="10">
        <v>5.25795489978458</v>
      </c>
      <c r="P194" s="14" t="s">
        <v>194</v>
      </c>
      <c r="Q194" s="11">
        <v>616.68681756217404</v>
      </c>
      <c r="R194" s="10">
        <v>1.1100000000000001</v>
      </c>
      <c r="S194" s="10">
        <v>27.33</v>
      </c>
      <c r="T194" s="10">
        <v>1.78</v>
      </c>
      <c r="V194" s="9">
        <f t="shared" si="8"/>
        <v>92</v>
      </c>
      <c r="W194" s="9">
        <f t="shared" si="9"/>
        <v>189</v>
      </c>
      <c r="X194">
        <f t="shared" si="10"/>
        <v>6</v>
      </c>
      <c r="Y194">
        <f t="shared" si="11"/>
        <v>0</v>
      </c>
      <c r="Z194">
        <v>193</v>
      </c>
    </row>
    <row r="195" spans="1:26" x14ac:dyDescent="0.2">
      <c r="A195" s="8">
        <v>51</v>
      </c>
      <c r="B195" s="9">
        <v>2352</v>
      </c>
      <c r="C195" s="9">
        <v>3</v>
      </c>
      <c r="D195" s="9">
        <v>3</v>
      </c>
      <c r="E195" s="9">
        <v>1</v>
      </c>
      <c r="F195" s="9">
        <v>2</v>
      </c>
      <c r="G195" t="s">
        <v>195</v>
      </c>
      <c r="H195" s="9">
        <v>2</v>
      </c>
      <c r="I195" s="9">
        <v>2</v>
      </c>
      <c r="J195" s="9">
        <v>6</v>
      </c>
      <c r="K195" s="10">
        <v>100</v>
      </c>
      <c r="L195" s="10">
        <v>33.3333333333333</v>
      </c>
      <c r="M195" s="10">
        <v>0</v>
      </c>
      <c r="N195" s="1">
        <v>5.5213477388976704E-6</v>
      </c>
      <c r="O195" s="10">
        <v>5.25795489978458</v>
      </c>
      <c r="P195" s="14" t="s">
        <v>194</v>
      </c>
      <c r="Q195" s="11">
        <v>616.68681756217404</v>
      </c>
      <c r="R195" s="10">
        <v>0.69</v>
      </c>
      <c r="S195" s="10">
        <v>27.33</v>
      </c>
      <c r="T195" s="10">
        <v>1.78</v>
      </c>
      <c r="V195" s="9">
        <f t="shared" ref="V195:V258" si="12">IF(B195&lt;&gt;B194,V194+1,V194)</f>
        <v>92</v>
      </c>
      <c r="W195" s="9">
        <f t="shared" ref="W195:W258" si="13">IF(F195&lt;&gt;F194,W194+1,W194)</f>
        <v>190</v>
      </c>
      <c r="X195">
        <f t="shared" si="10"/>
        <v>6</v>
      </c>
      <c r="Y195">
        <f t="shared" si="11"/>
        <v>0</v>
      </c>
      <c r="Z195">
        <v>194</v>
      </c>
    </row>
    <row r="196" spans="1:26" x14ac:dyDescent="0.2">
      <c r="A196" s="8">
        <v>51</v>
      </c>
      <c r="B196" s="9">
        <v>2352</v>
      </c>
      <c r="C196" s="9">
        <v>3</v>
      </c>
      <c r="D196" s="9">
        <v>3</v>
      </c>
      <c r="E196" s="9">
        <v>1</v>
      </c>
      <c r="F196" s="9">
        <v>3</v>
      </c>
      <c r="G196" t="s">
        <v>196</v>
      </c>
      <c r="H196" s="9">
        <v>3</v>
      </c>
      <c r="I196" s="9">
        <v>5</v>
      </c>
      <c r="J196" s="9">
        <v>3</v>
      </c>
      <c r="K196" s="10">
        <v>60</v>
      </c>
      <c r="L196" s="10">
        <v>100</v>
      </c>
      <c r="M196" s="10">
        <v>6.0716454159077102E-2</v>
      </c>
      <c r="N196" s="1">
        <v>3.3513491586632298E-9</v>
      </c>
      <c r="O196" s="10">
        <v>8.4747803230506307</v>
      </c>
      <c r="P196" s="14">
        <v>1647</v>
      </c>
      <c r="Q196" s="11">
        <v>1372.0819421067099</v>
      </c>
      <c r="R196" s="10">
        <v>22.5</v>
      </c>
      <c r="S196" s="10">
        <v>27.33</v>
      </c>
      <c r="T196" s="10">
        <v>1.78</v>
      </c>
      <c r="V196" s="9">
        <f t="shared" si="12"/>
        <v>92</v>
      </c>
      <c r="W196" s="9">
        <f t="shared" si="13"/>
        <v>191</v>
      </c>
      <c r="X196">
        <f t="shared" ref="X196:X259" si="14">IF(AND(B196&lt;&gt;B195,D195&gt;2),X195+1,X195)</f>
        <v>6</v>
      </c>
      <c r="Y196">
        <f t="shared" ref="Y196:Y259" si="15">IF(AND(B196&lt;&gt;B195,D195&gt;3),Y195+1,Y195)</f>
        <v>0</v>
      </c>
      <c r="Z196">
        <v>195</v>
      </c>
    </row>
    <row r="197" spans="1:26" x14ac:dyDescent="0.2">
      <c r="A197" s="8">
        <v>52</v>
      </c>
      <c r="B197" s="9">
        <v>707</v>
      </c>
      <c r="C197" s="9">
        <v>2</v>
      </c>
      <c r="D197" s="9">
        <v>2</v>
      </c>
      <c r="E197" s="9">
        <v>1</v>
      </c>
      <c r="F197" s="9">
        <v>1</v>
      </c>
      <c r="G197" t="s">
        <v>197</v>
      </c>
      <c r="H197" s="9">
        <v>7</v>
      </c>
      <c r="I197" s="9">
        <v>18</v>
      </c>
      <c r="J197" s="9">
        <v>133</v>
      </c>
      <c r="K197" s="10">
        <v>38.8888888888888</v>
      </c>
      <c r="L197" s="10">
        <v>5.2631578947368398</v>
      </c>
      <c r="M197" s="10">
        <v>0.347661188369153</v>
      </c>
      <c r="N197" s="1">
        <v>6.5219071594301703E-6</v>
      </c>
      <c r="O197" s="10">
        <v>5.1856253877493401</v>
      </c>
      <c r="P197" s="14">
        <v>15.1387559808612</v>
      </c>
      <c r="Q197" s="11">
        <v>48.105099348715598</v>
      </c>
      <c r="R197" s="10" t="s">
        <v>57</v>
      </c>
      <c r="S197" s="10">
        <v>22.47</v>
      </c>
      <c r="T197" s="10">
        <v>1.46</v>
      </c>
      <c r="V197" s="9">
        <f t="shared" si="12"/>
        <v>93</v>
      </c>
      <c r="W197" s="9">
        <f t="shared" si="13"/>
        <v>192</v>
      </c>
      <c r="X197">
        <f t="shared" si="14"/>
        <v>7</v>
      </c>
      <c r="Y197">
        <f t="shared" si="15"/>
        <v>0</v>
      </c>
      <c r="Z197">
        <v>196</v>
      </c>
    </row>
    <row r="198" spans="1:26" x14ac:dyDescent="0.2">
      <c r="A198" s="8">
        <v>52</v>
      </c>
      <c r="B198" s="9">
        <v>707</v>
      </c>
      <c r="C198" s="9">
        <v>2</v>
      </c>
      <c r="D198" s="9">
        <v>2</v>
      </c>
      <c r="E198" s="9">
        <v>1</v>
      </c>
      <c r="F198" s="9">
        <v>2</v>
      </c>
      <c r="G198" t="s">
        <v>198</v>
      </c>
      <c r="H198" s="9">
        <v>7</v>
      </c>
      <c r="I198" s="9">
        <v>133</v>
      </c>
      <c r="J198" s="9">
        <v>18</v>
      </c>
      <c r="K198" s="10">
        <v>5.2631578947368398</v>
      </c>
      <c r="L198" s="10">
        <v>38.8888888888888</v>
      </c>
      <c r="M198" s="10">
        <v>3.8426349496797805</v>
      </c>
      <c r="N198" s="1">
        <v>6.5219071594301797E-6</v>
      </c>
      <c r="O198" s="10">
        <v>5.1856253877493401</v>
      </c>
      <c r="P198" s="14">
        <v>10.120370370370299</v>
      </c>
      <c r="Q198" s="11">
        <v>48.105099348715598</v>
      </c>
      <c r="R198" s="10">
        <v>12.71</v>
      </c>
      <c r="S198" s="10">
        <v>22.47</v>
      </c>
      <c r="T198" s="10">
        <v>1.46</v>
      </c>
      <c r="V198" s="9">
        <f t="shared" si="12"/>
        <v>93</v>
      </c>
      <c r="W198" s="9">
        <f t="shared" si="13"/>
        <v>193</v>
      </c>
      <c r="X198">
        <f t="shared" si="14"/>
        <v>7</v>
      </c>
      <c r="Y198">
        <f t="shared" si="15"/>
        <v>0</v>
      </c>
      <c r="Z198">
        <v>197</v>
      </c>
    </row>
    <row r="199" spans="1:26" x14ac:dyDescent="0.2">
      <c r="A199" s="8">
        <v>52</v>
      </c>
      <c r="B199" s="9">
        <v>2002</v>
      </c>
      <c r="C199" s="9">
        <v>2</v>
      </c>
      <c r="D199" s="9">
        <v>2</v>
      </c>
      <c r="E199" s="9">
        <v>1</v>
      </c>
      <c r="F199" s="9">
        <v>1</v>
      </c>
      <c r="G199" t="s">
        <v>199</v>
      </c>
      <c r="H199" s="9">
        <v>4</v>
      </c>
      <c r="I199" s="9">
        <v>15</v>
      </c>
      <c r="J199" s="9">
        <v>13</v>
      </c>
      <c r="K199" s="10">
        <v>26.6666666666666</v>
      </c>
      <c r="L199" s="10">
        <v>30.769230769230699</v>
      </c>
      <c r="M199" s="10">
        <v>0.33495736906211898</v>
      </c>
      <c r="N199" s="1">
        <v>3.8773021701551001E-7</v>
      </c>
      <c r="O199" s="10">
        <v>6.4114703517611096</v>
      </c>
      <c r="P199" s="14">
        <v>91.860139860139796</v>
      </c>
      <c r="Q199" s="11">
        <v>201.889312685215</v>
      </c>
      <c r="R199" s="10">
        <v>75.34</v>
      </c>
      <c r="S199" s="10">
        <v>26.12</v>
      </c>
      <c r="T199" s="10">
        <v>1.7</v>
      </c>
      <c r="V199" s="9">
        <f t="shared" si="12"/>
        <v>94</v>
      </c>
      <c r="W199" s="9">
        <f t="shared" si="13"/>
        <v>194</v>
      </c>
      <c r="X199">
        <f t="shared" si="14"/>
        <v>7</v>
      </c>
      <c r="Y199">
        <f t="shared" si="15"/>
        <v>0</v>
      </c>
      <c r="Z199">
        <v>198</v>
      </c>
    </row>
    <row r="200" spans="1:26" x14ac:dyDescent="0.2">
      <c r="A200" s="8">
        <v>52</v>
      </c>
      <c r="B200" s="9">
        <v>2002</v>
      </c>
      <c r="C200" s="9">
        <v>2</v>
      </c>
      <c r="D200" s="9">
        <v>2</v>
      </c>
      <c r="E200" s="9">
        <v>1</v>
      </c>
      <c r="F200" s="9">
        <v>2</v>
      </c>
      <c r="G200" t="s">
        <v>200</v>
      </c>
      <c r="H200" s="9">
        <v>4</v>
      </c>
      <c r="I200" s="9">
        <v>14</v>
      </c>
      <c r="J200" s="9">
        <v>15</v>
      </c>
      <c r="K200" s="10">
        <v>28.571428571428498</v>
      </c>
      <c r="L200" s="10">
        <v>26.6666666666666</v>
      </c>
      <c r="M200" s="10">
        <v>0.30469226081657502</v>
      </c>
      <c r="N200" s="1">
        <v>5.4136985970424199E-7</v>
      </c>
      <c r="O200" s="10">
        <v>6.2665059268597503</v>
      </c>
      <c r="P200" s="14">
        <v>87.52</v>
      </c>
      <c r="Q200" s="11">
        <v>187.03017510709699</v>
      </c>
      <c r="R200" s="10">
        <v>23.21</v>
      </c>
      <c r="S200" s="10">
        <v>26.12</v>
      </c>
      <c r="T200" s="10">
        <v>1.7</v>
      </c>
      <c r="V200" s="9">
        <f t="shared" si="12"/>
        <v>94</v>
      </c>
      <c r="W200" s="9">
        <f t="shared" si="13"/>
        <v>195</v>
      </c>
      <c r="X200">
        <f t="shared" si="14"/>
        <v>7</v>
      </c>
      <c r="Y200">
        <f t="shared" si="15"/>
        <v>0</v>
      </c>
      <c r="Z200">
        <v>199</v>
      </c>
    </row>
    <row r="201" spans="1:26" x14ac:dyDescent="0.2">
      <c r="A201" s="8">
        <v>53</v>
      </c>
      <c r="B201" s="9">
        <v>212</v>
      </c>
      <c r="C201" s="9">
        <v>2</v>
      </c>
      <c r="D201" s="9">
        <v>2</v>
      </c>
      <c r="E201" s="9">
        <v>1</v>
      </c>
      <c r="F201" s="9">
        <v>1</v>
      </c>
      <c r="G201" t="s">
        <v>201</v>
      </c>
      <c r="H201" s="9">
        <v>4</v>
      </c>
      <c r="I201" s="9">
        <v>27</v>
      </c>
      <c r="J201" s="9">
        <v>9</v>
      </c>
      <c r="K201" s="10">
        <v>14.814814814814801</v>
      </c>
      <c r="L201" s="10">
        <v>44.4444444444444</v>
      </c>
      <c r="M201" s="10">
        <v>0.69951338199513291</v>
      </c>
      <c r="N201" s="1">
        <v>8.7505616538656997E-7</v>
      </c>
      <c r="O201" s="10">
        <v>6.0579640709381</v>
      </c>
      <c r="P201" s="14">
        <v>63.536231884057898</v>
      </c>
      <c r="Q201" s="11">
        <v>161.03524017101401</v>
      </c>
      <c r="R201" s="10">
        <v>3.53</v>
      </c>
      <c r="S201" s="10">
        <v>19.12</v>
      </c>
      <c r="T201" s="10">
        <v>1.25</v>
      </c>
      <c r="V201" s="9">
        <f t="shared" si="12"/>
        <v>95</v>
      </c>
      <c r="W201" s="9">
        <f t="shared" si="13"/>
        <v>196</v>
      </c>
      <c r="X201">
        <f t="shared" si="14"/>
        <v>7</v>
      </c>
      <c r="Y201">
        <f t="shared" si="15"/>
        <v>0</v>
      </c>
      <c r="Z201">
        <v>200</v>
      </c>
    </row>
    <row r="202" spans="1:26" x14ac:dyDescent="0.2">
      <c r="A202" s="8">
        <v>53</v>
      </c>
      <c r="B202" s="9">
        <v>212</v>
      </c>
      <c r="C202" s="9">
        <v>2</v>
      </c>
      <c r="D202" s="9">
        <v>2</v>
      </c>
      <c r="E202" s="9">
        <v>1</v>
      </c>
      <c r="F202" s="9">
        <v>2</v>
      </c>
      <c r="G202" t="s">
        <v>202</v>
      </c>
      <c r="H202" s="9">
        <v>4</v>
      </c>
      <c r="I202" s="9">
        <v>9</v>
      </c>
      <c r="J202" s="9">
        <v>28</v>
      </c>
      <c r="K202" s="10">
        <v>44.4444444444444</v>
      </c>
      <c r="L202" s="10">
        <v>14.285714285714199</v>
      </c>
      <c r="M202" s="10">
        <v>0.152951973080452</v>
      </c>
      <c r="N202" s="1">
        <v>1.0196529870343601E-6</v>
      </c>
      <c r="O202" s="10">
        <v>5.9915476041769598</v>
      </c>
      <c r="P202" s="14">
        <v>93.399999999999906</v>
      </c>
      <c r="Q202" s="11">
        <v>155.084074828263</v>
      </c>
      <c r="R202" s="10">
        <v>0.26</v>
      </c>
      <c r="S202" s="10">
        <v>19.12</v>
      </c>
      <c r="T202" s="10">
        <v>1.25</v>
      </c>
      <c r="V202" s="9">
        <f t="shared" si="12"/>
        <v>95</v>
      </c>
      <c r="W202" s="9">
        <f t="shared" si="13"/>
        <v>197</v>
      </c>
      <c r="X202">
        <f t="shared" si="14"/>
        <v>7</v>
      </c>
      <c r="Y202">
        <f t="shared" si="15"/>
        <v>0</v>
      </c>
      <c r="Z202">
        <v>201</v>
      </c>
    </row>
    <row r="203" spans="1:26" x14ac:dyDescent="0.2">
      <c r="A203" s="8">
        <v>53</v>
      </c>
      <c r="B203" s="9">
        <v>2346</v>
      </c>
      <c r="C203" s="9">
        <v>3</v>
      </c>
      <c r="D203" s="9">
        <v>3</v>
      </c>
      <c r="E203" s="9">
        <v>1</v>
      </c>
      <c r="F203" s="9">
        <v>1</v>
      </c>
      <c r="G203" t="s">
        <v>203</v>
      </c>
      <c r="H203" s="9">
        <v>2</v>
      </c>
      <c r="I203" s="9">
        <v>2</v>
      </c>
      <c r="J203" s="9">
        <v>6</v>
      </c>
      <c r="K203" s="10">
        <v>100</v>
      </c>
      <c r="L203" s="10">
        <v>33.3333333333333</v>
      </c>
      <c r="M203" s="10">
        <v>0</v>
      </c>
      <c r="N203" s="1">
        <v>5.5213477388976704E-6</v>
      </c>
      <c r="O203" s="10">
        <v>5.25795489978458</v>
      </c>
      <c r="P203" s="14" t="s">
        <v>194</v>
      </c>
      <c r="Q203" s="11">
        <v>616.68681756217404</v>
      </c>
      <c r="R203" s="10">
        <v>0.46</v>
      </c>
      <c r="S203" s="10">
        <v>41.5</v>
      </c>
      <c r="T203" s="10">
        <v>2.7</v>
      </c>
      <c r="V203" s="9">
        <f t="shared" si="12"/>
        <v>96</v>
      </c>
      <c r="W203" s="9">
        <f t="shared" si="13"/>
        <v>198</v>
      </c>
      <c r="X203">
        <f t="shared" si="14"/>
        <v>7</v>
      </c>
      <c r="Y203">
        <f t="shared" si="15"/>
        <v>0</v>
      </c>
      <c r="Z203">
        <v>202</v>
      </c>
    </row>
    <row r="204" spans="1:26" x14ac:dyDescent="0.2">
      <c r="A204" s="8">
        <v>53</v>
      </c>
      <c r="B204" s="9">
        <v>2346</v>
      </c>
      <c r="C204" s="9">
        <v>3</v>
      </c>
      <c r="D204" s="9">
        <v>3</v>
      </c>
      <c r="E204" s="9">
        <v>1</v>
      </c>
      <c r="F204" s="9">
        <v>2</v>
      </c>
      <c r="G204" t="s">
        <v>204</v>
      </c>
      <c r="H204" s="9">
        <v>4</v>
      </c>
      <c r="I204" s="9">
        <v>5</v>
      </c>
      <c r="J204" s="9">
        <v>6</v>
      </c>
      <c r="K204" s="10">
        <v>80</v>
      </c>
      <c r="L204" s="10">
        <v>66.6666666666666</v>
      </c>
      <c r="M204" s="10">
        <v>3.03859009419629E-2</v>
      </c>
      <c r="N204" s="1">
        <v>3.0507475482917402E-11</v>
      </c>
      <c r="O204" s="10">
        <v>10.5155937290734</v>
      </c>
      <c r="P204" s="14">
        <v>2194</v>
      </c>
      <c r="Q204" s="11">
        <v>1343.76367859128</v>
      </c>
      <c r="R204" s="10">
        <v>12.47</v>
      </c>
      <c r="S204" s="10">
        <v>41.5</v>
      </c>
      <c r="T204" s="10">
        <v>2.7</v>
      </c>
      <c r="V204" s="9">
        <f t="shared" si="12"/>
        <v>96</v>
      </c>
      <c r="W204" s="9">
        <f t="shared" si="13"/>
        <v>199</v>
      </c>
      <c r="X204">
        <f t="shared" si="14"/>
        <v>7</v>
      </c>
      <c r="Y204">
        <f t="shared" si="15"/>
        <v>0</v>
      </c>
      <c r="Z204">
        <v>203</v>
      </c>
    </row>
    <row r="205" spans="1:26" x14ac:dyDescent="0.2">
      <c r="A205" s="8">
        <v>53</v>
      </c>
      <c r="B205" s="9">
        <v>2346</v>
      </c>
      <c r="C205" s="9">
        <v>3</v>
      </c>
      <c r="D205" s="9">
        <v>3</v>
      </c>
      <c r="E205" s="9">
        <v>1</v>
      </c>
      <c r="F205" s="9">
        <v>3</v>
      </c>
      <c r="G205" t="s">
        <v>205</v>
      </c>
      <c r="H205" s="9">
        <v>2</v>
      </c>
      <c r="I205" s="9">
        <v>3</v>
      </c>
      <c r="J205" s="9">
        <v>4</v>
      </c>
      <c r="K205" s="10">
        <v>66.6666666666666</v>
      </c>
      <c r="L205" s="10">
        <v>50</v>
      </c>
      <c r="M205" s="10">
        <v>3.0367446097783097E-2</v>
      </c>
      <c r="N205" s="1">
        <v>6.6229362073502899E-6</v>
      </c>
      <c r="O205" s="10">
        <v>5.1789494280920403</v>
      </c>
      <c r="P205" s="14">
        <v>1646.49999999999</v>
      </c>
      <c r="Q205" s="11">
        <v>616.49937496784798</v>
      </c>
      <c r="R205" s="10">
        <v>5.0199999999999996</v>
      </c>
      <c r="S205" s="10">
        <v>41.5</v>
      </c>
      <c r="T205" s="10">
        <v>2.7</v>
      </c>
      <c r="V205" s="9">
        <f t="shared" si="12"/>
        <v>96</v>
      </c>
      <c r="W205" s="9">
        <f t="shared" si="13"/>
        <v>200</v>
      </c>
      <c r="X205">
        <f t="shared" si="14"/>
        <v>7</v>
      </c>
      <c r="Y205">
        <f t="shared" si="15"/>
        <v>0</v>
      </c>
      <c r="Z205">
        <v>204</v>
      </c>
    </row>
    <row r="206" spans="1:26" x14ac:dyDescent="0.2">
      <c r="A206" s="8">
        <v>55</v>
      </c>
      <c r="B206" s="9">
        <v>53</v>
      </c>
      <c r="C206" s="9">
        <v>2</v>
      </c>
      <c r="D206" s="9">
        <v>2</v>
      </c>
      <c r="E206" s="9">
        <v>1</v>
      </c>
      <c r="F206" s="9">
        <v>1</v>
      </c>
      <c r="G206" t="s">
        <v>206</v>
      </c>
      <c r="H206" s="9">
        <v>5</v>
      </c>
      <c r="I206" s="9">
        <v>33</v>
      </c>
      <c r="J206" s="9">
        <v>16</v>
      </c>
      <c r="K206" s="10">
        <v>15.151515151515099</v>
      </c>
      <c r="L206" s="10">
        <v>31.25</v>
      </c>
      <c r="M206" s="10">
        <v>0.85339835416031706</v>
      </c>
      <c r="N206" s="1">
        <v>5.9236601278128497E-7</v>
      </c>
      <c r="O206" s="10">
        <v>6.2274098672422804</v>
      </c>
      <c r="P206" s="14">
        <v>36.618303571428498</v>
      </c>
      <c r="Q206" s="11">
        <v>119.375955245702</v>
      </c>
      <c r="R206" s="10">
        <v>1.1299999999999999</v>
      </c>
      <c r="S206" s="10">
        <v>22.32</v>
      </c>
      <c r="T206" s="10">
        <v>1.45</v>
      </c>
      <c r="V206" s="9">
        <f t="shared" si="12"/>
        <v>97</v>
      </c>
      <c r="W206" s="9">
        <f t="shared" si="13"/>
        <v>201</v>
      </c>
      <c r="X206">
        <f t="shared" si="14"/>
        <v>8</v>
      </c>
      <c r="Y206">
        <f t="shared" si="15"/>
        <v>0</v>
      </c>
      <c r="Z206">
        <v>205</v>
      </c>
    </row>
    <row r="207" spans="1:26" x14ac:dyDescent="0.2">
      <c r="A207" s="8">
        <v>55</v>
      </c>
      <c r="B207" s="9">
        <v>53</v>
      </c>
      <c r="C207" s="9">
        <v>2</v>
      </c>
      <c r="D207" s="9">
        <v>2</v>
      </c>
      <c r="E207" s="9">
        <v>1</v>
      </c>
      <c r="F207" s="9">
        <v>2</v>
      </c>
      <c r="G207" t="s">
        <v>207</v>
      </c>
      <c r="H207" s="9">
        <v>5</v>
      </c>
      <c r="I207" s="9">
        <v>16</v>
      </c>
      <c r="J207" s="9">
        <v>33</v>
      </c>
      <c r="K207" s="10">
        <v>31.25</v>
      </c>
      <c r="L207" s="10">
        <v>15.151515151515099</v>
      </c>
      <c r="M207" s="10">
        <v>0.33700980392156799</v>
      </c>
      <c r="N207" s="1">
        <v>5.9236601278128402E-7</v>
      </c>
      <c r="O207" s="10">
        <v>6.2274098672422804</v>
      </c>
      <c r="P207" s="14">
        <v>44.958677685950398</v>
      </c>
      <c r="Q207" s="11">
        <v>119.375955245702</v>
      </c>
      <c r="R207" s="10">
        <v>71.09</v>
      </c>
      <c r="S207" s="10">
        <v>22.32</v>
      </c>
      <c r="T207" s="10">
        <v>1.45</v>
      </c>
      <c r="V207" s="9">
        <f t="shared" si="12"/>
        <v>97</v>
      </c>
      <c r="W207" s="9">
        <f t="shared" si="13"/>
        <v>202</v>
      </c>
      <c r="X207">
        <f t="shared" si="14"/>
        <v>8</v>
      </c>
      <c r="Y207">
        <f t="shared" si="15"/>
        <v>0</v>
      </c>
      <c r="Z207">
        <v>206</v>
      </c>
    </row>
    <row r="208" spans="1:26" x14ac:dyDescent="0.2">
      <c r="A208" s="8">
        <v>55</v>
      </c>
      <c r="B208" s="9">
        <v>420</v>
      </c>
      <c r="C208" s="9">
        <v>2</v>
      </c>
      <c r="D208" s="9">
        <v>2</v>
      </c>
      <c r="E208" s="9">
        <v>1</v>
      </c>
      <c r="F208" s="9">
        <v>1</v>
      </c>
      <c r="G208" t="s">
        <v>208</v>
      </c>
      <c r="H208" s="9">
        <v>4</v>
      </c>
      <c r="I208" s="9">
        <v>16</v>
      </c>
      <c r="J208" s="9">
        <v>23</v>
      </c>
      <c r="K208" s="10">
        <v>25</v>
      </c>
      <c r="L208" s="10">
        <v>17.391304347826001</v>
      </c>
      <c r="M208" s="10">
        <v>0.36652412950519198</v>
      </c>
      <c r="N208" s="1">
        <v>6.2043584799632197E-6</v>
      </c>
      <c r="O208" s="10">
        <v>5.2073031171491797</v>
      </c>
      <c r="P208" s="14">
        <v>47.449275362318801</v>
      </c>
      <c r="Q208" s="11">
        <v>104.09004654097301</v>
      </c>
      <c r="R208" s="10">
        <v>16.260000000000002</v>
      </c>
      <c r="S208" s="10">
        <v>21.03</v>
      </c>
      <c r="T208" s="10">
        <v>1.37</v>
      </c>
      <c r="V208" s="9">
        <f t="shared" si="12"/>
        <v>98</v>
      </c>
      <c r="W208" s="9">
        <f t="shared" si="13"/>
        <v>203</v>
      </c>
      <c r="X208">
        <f t="shared" si="14"/>
        <v>8</v>
      </c>
      <c r="Y208">
        <f t="shared" si="15"/>
        <v>0</v>
      </c>
      <c r="Z208">
        <v>207</v>
      </c>
    </row>
    <row r="209" spans="1:26" x14ac:dyDescent="0.2">
      <c r="A209" s="8">
        <v>55</v>
      </c>
      <c r="B209" s="9">
        <v>420</v>
      </c>
      <c r="C209" s="9">
        <v>2</v>
      </c>
      <c r="D209" s="9">
        <v>2</v>
      </c>
      <c r="E209" s="9">
        <v>1</v>
      </c>
      <c r="F209" s="9">
        <v>2</v>
      </c>
      <c r="G209" t="s">
        <v>209</v>
      </c>
      <c r="H209" s="9">
        <v>4</v>
      </c>
      <c r="I209" s="9">
        <v>23</v>
      </c>
      <c r="J209" s="9">
        <v>16</v>
      </c>
      <c r="K209" s="10">
        <v>17.391304347826001</v>
      </c>
      <c r="L209" s="10">
        <v>25</v>
      </c>
      <c r="M209" s="10">
        <v>0.57909174032307198</v>
      </c>
      <c r="N209" s="1">
        <v>6.2043584799632197E-6</v>
      </c>
      <c r="O209" s="10">
        <v>5.2073031171491797</v>
      </c>
      <c r="P209" s="14">
        <v>43.171052631578902</v>
      </c>
      <c r="Q209" s="11">
        <v>104.09004654097301</v>
      </c>
      <c r="R209" s="10">
        <v>3.92</v>
      </c>
      <c r="S209" s="10">
        <v>21.03</v>
      </c>
      <c r="T209" s="10">
        <v>1.37</v>
      </c>
      <c r="V209" s="9">
        <f t="shared" si="12"/>
        <v>98</v>
      </c>
      <c r="W209" s="9">
        <f t="shared" si="13"/>
        <v>204</v>
      </c>
      <c r="X209">
        <f t="shared" si="14"/>
        <v>8</v>
      </c>
      <c r="Y209">
        <f t="shared" si="15"/>
        <v>0</v>
      </c>
      <c r="Z209">
        <v>208</v>
      </c>
    </row>
    <row r="210" spans="1:26" x14ac:dyDescent="0.2">
      <c r="A210" s="8">
        <v>55</v>
      </c>
      <c r="B210" s="9">
        <v>706</v>
      </c>
      <c r="C210" s="9">
        <v>2</v>
      </c>
      <c r="D210" s="9">
        <v>2</v>
      </c>
      <c r="E210" s="9">
        <v>1</v>
      </c>
      <c r="F210" s="9">
        <v>1</v>
      </c>
      <c r="G210" t="s">
        <v>210</v>
      </c>
      <c r="H210" s="9">
        <v>4</v>
      </c>
      <c r="I210" s="9">
        <v>4</v>
      </c>
      <c r="J210" s="9">
        <v>151</v>
      </c>
      <c r="K210" s="10">
        <v>100</v>
      </c>
      <c r="L210" s="10">
        <v>2.6490066225165498</v>
      </c>
      <c r="M210" s="10">
        <v>0</v>
      </c>
      <c r="N210" s="1">
        <v>8.4695633717919593E-6</v>
      </c>
      <c r="O210" s="10">
        <v>5.0721389781119299</v>
      </c>
      <c r="P210" s="14" t="s">
        <v>211</v>
      </c>
      <c r="Q210" s="11">
        <v>63.0099085595497</v>
      </c>
      <c r="R210" s="10">
        <v>0.2</v>
      </c>
      <c r="S210" s="10">
        <v>20.97</v>
      </c>
      <c r="T210" s="10">
        <v>1.37</v>
      </c>
      <c r="V210" s="9">
        <f t="shared" si="12"/>
        <v>99</v>
      </c>
      <c r="W210" s="9">
        <f t="shared" si="13"/>
        <v>205</v>
      </c>
      <c r="X210">
        <f t="shared" si="14"/>
        <v>8</v>
      </c>
      <c r="Y210">
        <f t="shared" si="15"/>
        <v>0</v>
      </c>
      <c r="Z210">
        <v>209</v>
      </c>
    </row>
    <row r="211" spans="1:26" x14ac:dyDescent="0.2">
      <c r="A211" s="8">
        <v>55</v>
      </c>
      <c r="B211" s="9">
        <v>706</v>
      </c>
      <c r="C211" s="9">
        <v>2</v>
      </c>
      <c r="D211" s="9">
        <v>2</v>
      </c>
      <c r="E211" s="9">
        <v>1</v>
      </c>
      <c r="F211" s="9">
        <v>2</v>
      </c>
      <c r="G211" t="s">
        <v>212</v>
      </c>
      <c r="H211" s="9">
        <v>4</v>
      </c>
      <c r="I211" s="9">
        <v>148</v>
      </c>
      <c r="J211" s="9">
        <v>4</v>
      </c>
      <c r="K211" s="10">
        <v>2.7027027027027</v>
      </c>
      <c r="L211" s="10">
        <v>100</v>
      </c>
      <c r="M211" s="10">
        <v>4.3729122380807697</v>
      </c>
      <c r="N211" s="1">
        <v>7.8098868149348298E-6</v>
      </c>
      <c r="O211" s="10">
        <v>5.1073552601054599</v>
      </c>
      <c r="P211" s="14">
        <v>22.8680555555555</v>
      </c>
      <c r="Q211" s="11">
        <v>64.366924217208805</v>
      </c>
      <c r="R211" s="10">
        <v>16.46</v>
      </c>
      <c r="S211" s="10">
        <v>20.97</v>
      </c>
      <c r="T211" s="10">
        <v>1.37</v>
      </c>
      <c r="V211" s="9">
        <f t="shared" si="12"/>
        <v>99</v>
      </c>
      <c r="W211" s="9">
        <f t="shared" si="13"/>
        <v>206</v>
      </c>
      <c r="X211">
        <f t="shared" si="14"/>
        <v>8</v>
      </c>
      <c r="Y211">
        <f t="shared" si="15"/>
        <v>0</v>
      </c>
      <c r="Z211">
        <v>210</v>
      </c>
    </row>
    <row r="212" spans="1:26" x14ac:dyDescent="0.2">
      <c r="A212" s="8">
        <v>55</v>
      </c>
      <c r="B212" s="9">
        <v>711</v>
      </c>
      <c r="C212" s="9">
        <v>2</v>
      </c>
      <c r="D212" s="9">
        <v>2</v>
      </c>
      <c r="E212" s="9">
        <v>1</v>
      </c>
      <c r="F212" s="9">
        <v>1</v>
      </c>
      <c r="G212" t="s">
        <v>213</v>
      </c>
      <c r="H212" s="9">
        <v>4</v>
      </c>
      <c r="I212" s="9">
        <v>11</v>
      </c>
      <c r="J212" s="9">
        <v>32</v>
      </c>
      <c r="K212" s="10">
        <v>36.363636363636296</v>
      </c>
      <c r="L212" s="10">
        <v>12.5</v>
      </c>
      <c r="M212" s="10">
        <v>0.21439509954058097</v>
      </c>
      <c r="N212" s="1">
        <v>4.60406787419709E-6</v>
      </c>
      <c r="O212" s="10">
        <v>5.3368582825287803</v>
      </c>
      <c r="P212" s="14">
        <v>58.303571428571402</v>
      </c>
      <c r="Q212" s="11">
        <v>109.26765823234599</v>
      </c>
      <c r="R212" s="10">
        <v>0.28999999999999998</v>
      </c>
      <c r="S212" s="10">
        <v>20.77</v>
      </c>
      <c r="T212" s="10">
        <v>1.35</v>
      </c>
      <c r="V212" s="9">
        <f t="shared" si="12"/>
        <v>100</v>
      </c>
      <c r="W212" s="9">
        <f t="shared" si="13"/>
        <v>207</v>
      </c>
      <c r="X212">
        <f t="shared" si="14"/>
        <v>8</v>
      </c>
      <c r="Y212">
        <f t="shared" si="15"/>
        <v>0</v>
      </c>
      <c r="Z212">
        <v>211</v>
      </c>
    </row>
    <row r="213" spans="1:26" x14ac:dyDescent="0.2">
      <c r="A213" s="8">
        <v>55</v>
      </c>
      <c r="B213" s="9">
        <v>711</v>
      </c>
      <c r="C213" s="9">
        <v>2</v>
      </c>
      <c r="D213" s="9">
        <v>2</v>
      </c>
      <c r="E213" s="9">
        <v>1</v>
      </c>
      <c r="F213" s="9">
        <v>2</v>
      </c>
      <c r="G213" t="s">
        <v>214</v>
      </c>
      <c r="H213" s="9">
        <v>4</v>
      </c>
      <c r="I213" s="9">
        <v>33</v>
      </c>
      <c r="J213" s="9">
        <v>11</v>
      </c>
      <c r="K213" s="10">
        <v>12.1212121212121</v>
      </c>
      <c r="L213" s="10">
        <v>36.363636363636296</v>
      </c>
      <c r="M213" s="10">
        <v>0.88253195374315196</v>
      </c>
      <c r="N213" s="1">
        <v>5.2301567476285199E-6</v>
      </c>
      <c r="O213" s="10">
        <v>5.2814852951461004</v>
      </c>
      <c r="P213" s="14">
        <v>41.2037617554858</v>
      </c>
      <c r="Q213" s="11">
        <v>105.780656452789</v>
      </c>
      <c r="R213" s="10">
        <v>7.32</v>
      </c>
      <c r="S213" s="10">
        <v>20.77</v>
      </c>
      <c r="T213" s="10">
        <v>1.35</v>
      </c>
      <c r="V213" s="9">
        <f t="shared" si="12"/>
        <v>100</v>
      </c>
      <c r="W213" s="9">
        <f t="shared" si="13"/>
        <v>208</v>
      </c>
      <c r="X213">
        <f t="shared" si="14"/>
        <v>8</v>
      </c>
      <c r="Y213">
        <f t="shared" si="15"/>
        <v>0</v>
      </c>
      <c r="Z213">
        <v>212</v>
      </c>
    </row>
    <row r="214" spans="1:26" x14ac:dyDescent="0.2">
      <c r="A214" s="8">
        <v>55</v>
      </c>
      <c r="B214" s="9">
        <v>856</v>
      </c>
      <c r="C214" s="9">
        <v>2</v>
      </c>
      <c r="D214" s="9">
        <v>2</v>
      </c>
      <c r="E214" s="9">
        <v>1</v>
      </c>
      <c r="F214" s="9">
        <v>1</v>
      </c>
      <c r="G214" t="s">
        <v>45</v>
      </c>
      <c r="H214" s="9">
        <v>5</v>
      </c>
      <c r="I214" s="9">
        <v>45</v>
      </c>
      <c r="J214" s="9">
        <v>11</v>
      </c>
      <c r="K214" s="10">
        <v>11.1111111111111</v>
      </c>
      <c r="L214" s="10">
        <v>45.454545454545396</v>
      </c>
      <c r="M214" s="10">
        <v>1.21728545343883</v>
      </c>
      <c r="N214" s="1">
        <v>3.2812911807642597E-7</v>
      </c>
      <c r="O214" s="10">
        <v>6.4839552287459004</v>
      </c>
      <c r="P214" s="14">
        <v>37.340909090909001</v>
      </c>
      <c r="Q214" s="11">
        <v>128.19904993111101</v>
      </c>
      <c r="R214" s="10">
        <v>4.7300000000000004</v>
      </c>
      <c r="S214" s="10">
        <v>20.53</v>
      </c>
      <c r="T214" s="10">
        <v>1.34</v>
      </c>
      <c r="V214" s="9">
        <f t="shared" si="12"/>
        <v>101</v>
      </c>
      <c r="W214" s="9">
        <f t="shared" si="13"/>
        <v>209</v>
      </c>
      <c r="X214">
        <f t="shared" si="14"/>
        <v>8</v>
      </c>
      <c r="Y214">
        <f t="shared" si="15"/>
        <v>0</v>
      </c>
      <c r="Z214">
        <v>213</v>
      </c>
    </row>
    <row r="215" spans="1:26" x14ac:dyDescent="0.2">
      <c r="A215" s="8">
        <v>55</v>
      </c>
      <c r="B215" s="9">
        <v>856</v>
      </c>
      <c r="C215" s="9">
        <v>2</v>
      </c>
      <c r="D215" s="9">
        <v>2</v>
      </c>
      <c r="E215" s="9">
        <v>1</v>
      </c>
      <c r="F215" s="9">
        <v>2</v>
      </c>
      <c r="G215" t="s">
        <v>215</v>
      </c>
      <c r="H215" s="9">
        <v>5</v>
      </c>
      <c r="I215" s="9">
        <v>11</v>
      </c>
      <c r="J215" s="9">
        <v>45</v>
      </c>
      <c r="K215" s="10">
        <v>45.454545454545396</v>
      </c>
      <c r="L215" s="10">
        <v>11.1111111111111</v>
      </c>
      <c r="M215" s="10">
        <v>0.18450184501845002</v>
      </c>
      <c r="N215" s="1">
        <v>3.2812911807642597E-7</v>
      </c>
      <c r="O215" s="10">
        <v>6.4839552287459004</v>
      </c>
      <c r="P215" s="14">
        <v>60.2222222222222</v>
      </c>
      <c r="Q215" s="11">
        <v>128.19904993111101</v>
      </c>
      <c r="R215" s="10">
        <v>0.63</v>
      </c>
      <c r="S215" s="10">
        <v>20.53</v>
      </c>
      <c r="T215" s="10">
        <v>1.34</v>
      </c>
      <c r="V215" s="9">
        <f t="shared" si="12"/>
        <v>101</v>
      </c>
      <c r="W215" s="9">
        <f t="shared" si="13"/>
        <v>210</v>
      </c>
      <c r="X215">
        <f t="shared" si="14"/>
        <v>8</v>
      </c>
      <c r="Y215">
        <f t="shared" si="15"/>
        <v>0</v>
      </c>
      <c r="Z215">
        <v>214</v>
      </c>
    </row>
    <row r="216" spans="1:26" x14ac:dyDescent="0.2">
      <c r="A216" s="8">
        <v>55</v>
      </c>
      <c r="B216" s="9">
        <v>1201</v>
      </c>
      <c r="C216" s="9">
        <v>2</v>
      </c>
      <c r="D216" s="9">
        <v>2</v>
      </c>
      <c r="E216" s="9">
        <v>1</v>
      </c>
      <c r="F216" s="9">
        <v>1</v>
      </c>
      <c r="G216" t="s">
        <v>216</v>
      </c>
      <c r="H216" s="9">
        <v>5</v>
      </c>
      <c r="I216" s="9">
        <v>10</v>
      </c>
      <c r="J216" s="9">
        <v>92</v>
      </c>
      <c r="K216" s="10">
        <v>50</v>
      </c>
      <c r="L216" s="10">
        <v>5.4347826086956497</v>
      </c>
      <c r="M216" s="10">
        <v>0.15600624024960999</v>
      </c>
      <c r="N216" s="1">
        <v>6.8513946893552497E-6</v>
      </c>
      <c r="O216" s="10">
        <v>5.1642210132904696</v>
      </c>
      <c r="P216" s="14">
        <v>34.836956521739097</v>
      </c>
      <c r="Q216" s="11">
        <v>65.881492573288</v>
      </c>
      <c r="R216" s="10">
        <v>2.85</v>
      </c>
      <c r="S216" s="10">
        <v>23.44</v>
      </c>
      <c r="T216" s="10">
        <v>1.53</v>
      </c>
      <c r="V216" s="9">
        <f t="shared" si="12"/>
        <v>102</v>
      </c>
      <c r="W216" s="9">
        <f t="shared" si="13"/>
        <v>211</v>
      </c>
      <c r="X216">
        <f t="shared" si="14"/>
        <v>8</v>
      </c>
      <c r="Y216">
        <f t="shared" si="15"/>
        <v>0</v>
      </c>
      <c r="Z216">
        <v>215</v>
      </c>
    </row>
    <row r="217" spans="1:26" x14ac:dyDescent="0.2">
      <c r="A217" s="8">
        <v>55</v>
      </c>
      <c r="B217" s="9">
        <v>1201</v>
      </c>
      <c r="C217" s="9">
        <v>2</v>
      </c>
      <c r="D217" s="9">
        <v>2</v>
      </c>
      <c r="E217" s="9">
        <v>1</v>
      </c>
      <c r="F217" s="9">
        <v>2</v>
      </c>
      <c r="G217" t="s">
        <v>35</v>
      </c>
      <c r="H217" s="9">
        <v>5</v>
      </c>
      <c r="I217" s="9">
        <v>90</v>
      </c>
      <c r="J217" s="9">
        <v>10</v>
      </c>
      <c r="K217" s="10">
        <v>5.55555555555555</v>
      </c>
      <c r="L217" s="10">
        <v>50</v>
      </c>
      <c r="M217" s="10">
        <v>2.5859446303620301</v>
      </c>
      <c r="N217" s="1">
        <v>6.13887730146354E-6</v>
      </c>
      <c r="O217" s="10">
        <v>5.2119110468330598</v>
      </c>
      <c r="P217" s="14">
        <v>19.335294117646999</v>
      </c>
      <c r="Q217" s="11">
        <v>67.4971152473545</v>
      </c>
      <c r="R217" s="10">
        <v>38.46</v>
      </c>
      <c r="S217" s="10">
        <v>23.44</v>
      </c>
      <c r="T217" s="10">
        <v>1.53</v>
      </c>
      <c r="V217" s="9">
        <f t="shared" si="12"/>
        <v>102</v>
      </c>
      <c r="W217" s="9">
        <f t="shared" si="13"/>
        <v>212</v>
      </c>
      <c r="X217">
        <f t="shared" si="14"/>
        <v>8</v>
      </c>
      <c r="Y217">
        <f t="shared" si="15"/>
        <v>0</v>
      </c>
      <c r="Z217">
        <v>216</v>
      </c>
    </row>
    <row r="218" spans="1:26" x14ac:dyDescent="0.2">
      <c r="A218" s="8">
        <v>55</v>
      </c>
      <c r="B218" s="9">
        <v>1693</v>
      </c>
      <c r="C218" s="9">
        <v>2</v>
      </c>
      <c r="D218" s="9">
        <v>2</v>
      </c>
      <c r="E218" s="9">
        <v>1</v>
      </c>
      <c r="F218" s="9">
        <v>1</v>
      </c>
      <c r="G218" t="s">
        <v>217</v>
      </c>
      <c r="H218" s="9">
        <v>4</v>
      </c>
      <c r="I218" s="9">
        <v>23</v>
      </c>
      <c r="J218" s="9">
        <v>12</v>
      </c>
      <c r="K218" s="10">
        <v>17.391304347826001</v>
      </c>
      <c r="L218" s="10">
        <v>33.3333333333333</v>
      </c>
      <c r="M218" s="10">
        <v>0.57838660578386603</v>
      </c>
      <c r="N218" s="1">
        <v>1.7189857337377E-6</v>
      </c>
      <c r="O218" s="10">
        <v>5.7647277276088698</v>
      </c>
      <c r="P218" s="14">
        <v>57.631578947368403</v>
      </c>
      <c r="Q218" s="11">
        <v>140.91023619549401</v>
      </c>
      <c r="R218" s="10">
        <v>27.68</v>
      </c>
      <c r="S218" s="10">
        <v>21.06</v>
      </c>
      <c r="T218" s="10">
        <v>1.37</v>
      </c>
      <c r="V218" s="9">
        <f t="shared" si="12"/>
        <v>103</v>
      </c>
      <c r="W218" s="9">
        <f t="shared" si="13"/>
        <v>213</v>
      </c>
      <c r="X218">
        <f t="shared" si="14"/>
        <v>8</v>
      </c>
      <c r="Y218">
        <f t="shared" si="15"/>
        <v>0</v>
      </c>
      <c r="Z218">
        <v>217</v>
      </c>
    </row>
    <row r="219" spans="1:26" x14ac:dyDescent="0.2">
      <c r="A219" s="8">
        <v>55</v>
      </c>
      <c r="B219" s="9">
        <v>1693</v>
      </c>
      <c r="C219" s="9">
        <v>2</v>
      </c>
      <c r="D219" s="9">
        <v>2</v>
      </c>
      <c r="E219" s="9">
        <v>1</v>
      </c>
      <c r="F219" s="9">
        <v>2</v>
      </c>
      <c r="G219" t="s">
        <v>218</v>
      </c>
      <c r="H219" s="9">
        <v>4</v>
      </c>
      <c r="I219" s="9">
        <v>12</v>
      </c>
      <c r="J219" s="9">
        <v>23</v>
      </c>
      <c r="K219" s="10">
        <v>33.3333333333333</v>
      </c>
      <c r="L219" s="10">
        <v>17.391304347826001</v>
      </c>
      <c r="M219" s="10">
        <v>0.24434941967012799</v>
      </c>
      <c r="N219" s="1">
        <v>1.7189857337377E-6</v>
      </c>
      <c r="O219" s="10">
        <v>5.7647277276088698</v>
      </c>
      <c r="P219" s="14">
        <v>71.173913043478194</v>
      </c>
      <c r="Q219" s="11">
        <v>140.91023619549401</v>
      </c>
      <c r="R219" s="10">
        <v>10.48</v>
      </c>
      <c r="S219" s="10">
        <v>21.06</v>
      </c>
      <c r="T219" s="10">
        <v>1.37</v>
      </c>
      <c r="V219" s="9">
        <f t="shared" si="12"/>
        <v>103</v>
      </c>
      <c r="W219" s="9">
        <f t="shared" si="13"/>
        <v>214</v>
      </c>
      <c r="X219">
        <f t="shared" si="14"/>
        <v>8</v>
      </c>
      <c r="Y219">
        <f t="shared" si="15"/>
        <v>0</v>
      </c>
      <c r="Z219">
        <v>218</v>
      </c>
    </row>
    <row r="220" spans="1:26" x14ac:dyDescent="0.2">
      <c r="A220" s="8">
        <v>56</v>
      </c>
      <c r="B220" s="9">
        <v>420</v>
      </c>
      <c r="C220" s="9">
        <v>2</v>
      </c>
      <c r="D220" s="9">
        <v>2</v>
      </c>
      <c r="E220" s="9">
        <v>1</v>
      </c>
      <c r="F220" s="9">
        <v>1</v>
      </c>
      <c r="G220" t="s">
        <v>208</v>
      </c>
      <c r="H220" s="9">
        <v>6</v>
      </c>
      <c r="I220" s="9">
        <v>16</v>
      </c>
      <c r="J220" s="9">
        <v>72</v>
      </c>
      <c r="K220" s="10">
        <v>37.5</v>
      </c>
      <c r="L220" s="10">
        <v>8.3333333333333304</v>
      </c>
      <c r="M220" s="10">
        <v>0.31007751937984401</v>
      </c>
      <c r="N220" s="1">
        <v>1.18487133299551E-6</v>
      </c>
      <c r="O220" s="10">
        <v>5.9263288078006697</v>
      </c>
      <c r="P220" s="14">
        <v>26.875</v>
      </c>
      <c r="Q220" s="11">
        <v>77.997847487715504</v>
      </c>
      <c r="R220" s="10">
        <v>16.260000000000002</v>
      </c>
      <c r="S220" s="10">
        <v>21.06</v>
      </c>
      <c r="T220" s="10">
        <v>1.37</v>
      </c>
      <c r="V220" s="9">
        <f t="shared" si="12"/>
        <v>104</v>
      </c>
      <c r="W220" s="9">
        <f t="shared" si="13"/>
        <v>215</v>
      </c>
      <c r="X220">
        <f t="shared" si="14"/>
        <v>8</v>
      </c>
      <c r="Y220">
        <f t="shared" si="15"/>
        <v>0</v>
      </c>
      <c r="Z220">
        <v>219</v>
      </c>
    </row>
    <row r="221" spans="1:26" x14ac:dyDescent="0.2">
      <c r="A221" s="8">
        <v>56</v>
      </c>
      <c r="B221" s="9">
        <v>420</v>
      </c>
      <c r="C221" s="9">
        <v>2</v>
      </c>
      <c r="D221" s="9">
        <v>2</v>
      </c>
      <c r="E221" s="9">
        <v>1</v>
      </c>
      <c r="F221" s="9">
        <v>2</v>
      </c>
      <c r="G221" t="s">
        <v>219</v>
      </c>
      <c r="H221" s="9">
        <v>6</v>
      </c>
      <c r="I221" s="9">
        <v>71</v>
      </c>
      <c r="J221" s="9">
        <v>15</v>
      </c>
      <c r="K221" s="10">
        <v>8.4507042253521103</v>
      </c>
      <c r="L221" s="10">
        <v>40</v>
      </c>
      <c r="M221" s="10">
        <v>1.9804996953077298</v>
      </c>
      <c r="N221" s="1">
        <v>6.9234005195746502E-7</v>
      </c>
      <c r="O221" s="10">
        <v>6.1596805436724296</v>
      </c>
      <c r="P221" s="14">
        <v>20.196923076922999</v>
      </c>
      <c r="Q221" s="11">
        <v>85.183820155530697</v>
      </c>
      <c r="R221" s="10">
        <v>7.33</v>
      </c>
      <c r="S221" s="10">
        <v>21.06</v>
      </c>
      <c r="T221" s="10">
        <v>1.37</v>
      </c>
      <c r="V221" s="9">
        <f t="shared" si="12"/>
        <v>104</v>
      </c>
      <c r="W221" s="9">
        <f t="shared" si="13"/>
        <v>216</v>
      </c>
      <c r="X221">
        <f t="shared" si="14"/>
        <v>8</v>
      </c>
      <c r="Y221">
        <f t="shared" si="15"/>
        <v>0</v>
      </c>
      <c r="Z221">
        <v>220</v>
      </c>
    </row>
    <row r="222" spans="1:26" x14ac:dyDescent="0.2">
      <c r="A222" s="8">
        <v>58</v>
      </c>
      <c r="B222" s="9">
        <v>238</v>
      </c>
      <c r="C222" s="9">
        <v>2</v>
      </c>
      <c r="D222" s="9">
        <v>2</v>
      </c>
      <c r="E222" s="9">
        <v>1</v>
      </c>
      <c r="F222" s="9">
        <v>1</v>
      </c>
      <c r="G222" t="s">
        <v>220</v>
      </c>
      <c r="H222" s="9">
        <v>4</v>
      </c>
      <c r="I222" s="9">
        <v>51</v>
      </c>
      <c r="J222" s="9">
        <v>8</v>
      </c>
      <c r="K222" s="10">
        <v>7.8431372549019605</v>
      </c>
      <c r="L222" s="10">
        <v>50</v>
      </c>
      <c r="M222" s="10">
        <v>1.42900577683186</v>
      </c>
      <c r="N222" s="1">
        <v>6.7995129396227203E-6</v>
      </c>
      <c r="O222" s="10">
        <v>5.1675221954128903</v>
      </c>
      <c r="P222" s="14">
        <v>34.989361702127603</v>
      </c>
      <c r="Q222" s="11">
        <v>93.789404063958997</v>
      </c>
      <c r="R222" s="10">
        <v>999</v>
      </c>
      <c r="S222" s="10">
        <v>22.06</v>
      </c>
      <c r="T222" s="10">
        <v>1.44</v>
      </c>
      <c r="V222" s="9">
        <f t="shared" si="12"/>
        <v>105</v>
      </c>
      <c r="W222" s="9">
        <f t="shared" si="13"/>
        <v>217</v>
      </c>
      <c r="X222">
        <f t="shared" si="14"/>
        <v>8</v>
      </c>
      <c r="Y222">
        <f t="shared" si="15"/>
        <v>0</v>
      </c>
      <c r="Z222">
        <v>221</v>
      </c>
    </row>
    <row r="223" spans="1:26" x14ac:dyDescent="0.2">
      <c r="A223" s="8">
        <v>58</v>
      </c>
      <c r="B223" s="9">
        <v>238</v>
      </c>
      <c r="C223" s="9">
        <v>2</v>
      </c>
      <c r="D223" s="9">
        <v>2</v>
      </c>
      <c r="E223" s="9">
        <v>1</v>
      </c>
      <c r="F223" s="9">
        <v>2</v>
      </c>
      <c r="G223" t="s">
        <v>221</v>
      </c>
      <c r="H223" s="9">
        <v>4</v>
      </c>
      <c r="I223" s="9">
        <v>8</v>
      </c>
      <c r="J223" s="9">
        <v>49</v>
      </c>
      <c r="K223" s="10">
        <v>50</v>
      </c>
      <c r="L223" s="10">
        <v>8.1632653061224403</v>
      </c>
      <c r="M223" s="10">
        <v>0.123152709359605</v>
      </c>
      <c r="N223" s="1">
        <v>5.7762504316059703E-6</v>
      </c>
      <c r="O223" s="10">
        <v>5.2383539860224104</v>
      </c>
      <c r="P223" s="14">
        <v>66.285714285714207</v>
      </c>
      <c r="Q223" s="11">
        <v>97.838086017360595</v>
      </c>
      <c r="R223" s="10">
        <v>3.67</v>
      </c>
      <c r="S223" s="10">
        <v>22.06</v>
      </c>
      <c r="T223" s="10">
        <v>1.44</v>
      </c>
      <c r="V223" s="9">
        <f t="shared" si="12"/>
        <v>105</v>
      </c>
      <c r="W223" s="9">
        <f t="shared" si="13"/>
        <v>218</v>
      </c>
      <c r="X223">
        <f t="shared" si="14"/>
        <v>8</v>
      </c>
      <c r="Y223">
        <f t="shared" si="15"/>
        <v>0</v>
      </c>
      <c r="Z223">
        <v>222</v>
      </c>
    </row>
    <row r="224" spans="1:26" x14ac:dyDescent="0.2">
      <c r="A224" s="8">
        <v>58</v>
      </c>
      <c r="B224" s="9">
        <v>1664</v>
      </c>
      <c r="C224" s="9">
        <v>2</v>
      </c>
      <c r="D224" s="9">
        <v>2</v>
      </c>
      <c r="E224" s="9">
        <v>1</v>
      </c>
      <c r="F224" s="9">
        <v>1</v>
      </c>
      <c r="G224" t="s">
        <v>222</v>
      </c>
      <c r="H224" s="9">
        <v>4</v>
      </c>
      <c r="I224" s="9">
        <v>12</v>
      </c>
      <c r="J224" s="9">
        <v>16</v>
      </c>
      <c r="K224" s="10">
        <v>33.3333333333333</v>
      </c>
      <c r="L224" s="10">
        <v>25</v>
      </c>
      <c r="M224" s="10">
        <v>0.24382810118866097</v>
      </c>
      <c r="N224" s="1">
        <v>3.5816612695610799E-7</v>
      </c>
      <c r="O224" s="10">
        <v>6.4459154893179598</v>
      </c>
      <c r="P224" s="14">
        <v>102.53125</v>
      </c>
      <c r="Q224" s="11">
        <v>205.15235040412699</v>
      </c>
      <c r="R224" s="10">
        <v>4.2699999999999996</v>
      </c>
      <c r="S224" s="10">
        <v>22.43</v>
      </c>
      <c r="T224" s="10">
        <v>1.46</v>
      </c>
      <c r="V224" s="9">
        <f t="shared" si="12"/>
        <v>106</v>
      </c>
      <c r="W224" s="9">
        <f t="shared" si="13"/>
        <v>219</v>
      </c>
      <c r="X224">
        <f t="shared" si="14"/>
        <v>8</v>
      </c>
      <c r="Y224">
        <f t="shared" si="15"/>
        <v>0</v>
      </c>
      <c r="Z224">
        <v>223</v>
      </c>
    </row>
    <row r="225" spans="1:26" x14ac:dyDescent="0.2">
      <c r="A225" s="8">
        <v>58</v>
      </c>
      <c r="B225" s="9">
        <v>1664</v>
      </c>
      <c r="C225" s="9">
        <v>2</v>
      </c>
      <c r="D225" s="9">
        <v>2</v>
      </c>
      <c r="E225" s="9">
        <v>1</v>
      </c>
      <c r="F225" s="9">
        <v>2</v>
      </c>
      <c r="G225" t="s">
        <v>223</v>
      </c>
      <c r="H225" s="9">
        <v>4</v>
      </c>
      <c r="I225" s="9">
        <v>16</v>
      </c>
      <c r="J225" s="9">
        <v>11</v>
      </c>
      <c r="K225" s="10">
        <v>25</v>
      </c>
      <c r="L225" s="10">
        <v>36.363636363636296</v>
      </c>
      <c r="M225" s="10">
        <v>0.365185636031649</v>
      </c>
      <c r="N225" s="1">
        <v>2.3947619619516999E-7</v>
      </c>
      <c r="O225" s="10">
        <v>6.6207376487415104</v>
      </c>
      <c r="P225" s="14">
        <v>99.575757575757507</v>
      </c>
      <c r="Q225" s="11">
        <v>224.36583313591601</v>
      </c>
      <c r="R225" s="10">
        <v>2.81</v>
      </c>
      <c r="S225" s="10">
        <v>22.43</v>
      </c>
      <c r="T225" s="10">
        <v>1.46</v>
      </c>
      <c r="V225" s="9">
        <f t="shared" si="12"/>
        <v>106</v>
      </c>
      <c r="W225" s="9">
        <f t="shared" si="13"/>
        <v>220</v>
      </c>
      <c r="X225">
        <f t="shared" si="14"/>
        <v>8</v>
      </c>
      <c r="Y225">
        <f t="shared" si="15"/>
        <v>0</v>
      </c>
      <c r="Z225">
        <v>224</v>
      </c>
    </row>
    <row r="226" spans="1:26" x14ac:dyDescent="0.2">
      <c r="A226" s="8">
        <v>59</v>
      </c>
      <c r="B226" s="9">
        <v>1238</v>
      </c>
      <c r="C226" s="9">
        <v>2</v>
      </c>
      <c r="D226" s="9">
        <v>2</v>
      </c>
      <c r="E226" s="9">
        <v>1</v>
      </c>
      <c r="F226" s="9">
        <v>1</v>
      </c>
      <c r="G226" t="s">
        <v>224</v>
      </c>
      <c r="H226" s="9">
        <v>4</v>
      </c>
      <c r="I226" s="9">
        <v>28</v>
      </c>
      <c r="J226" s="9">
        <v>11</v>
      </c>
      <c r="K226" s="10">
        <v>14.285714285714199</v>
      </c>
      <c r="L226" s="10">
        <v>36.363636363636296</v>
      </c>
      <c r="M226" s="10">
        <v>0.73037127206329799</v>
      </c>
      <c r="N226" s="1">
        <v>2.6394680782830601E-6</v>
      </c>
      <c r="O226" s="10">
        <v>5.5784835859870796</v>
      </c>
      <c r="P226" s="14">
        <v>49.787878787878697</v>
      </c>
      <c r="Q226" s="11">
        <v>125.707524424944</v>
      </c>
      <c r="R226" s="10">
        <v>7.16</v>
      </c>
      <c r="S226" s="10">
        <v>21.57</v>
      </c>
      <c r="T226" s="10">
        <v>1.41</v>
      </c>
      <c r="V226" s="9">
        <f t="shared" si="12"/>
        <v>107</v>
      </c>
      <c r="W226" s="9">
        <f t="shared" si="13"/>
        <v>221</v>
      </c>
      <c r="X226">
        <f t="shared" si="14"/>
        <v>8</v>
      </c>
      <c r="Y226">
        <f t="shared" si="15"/>
        <v>0</v>
      </c>
      <c r="Z226">
        <v>225</v>
      </c>
    </row>
    <row r="227" spans="1:26" x14ac:dyDescent="0.2">
      <c r="A227" s="8">
        <v>59</v>
      </c>
      <c r="B227" s="9">
        <v>1238</v>
      </c>
      <c r="C227" s="9">
        <v>2</v>
      </c>
      <c r="D227" s="9">
        <v>2</v>
      </c>
      <c r="E227" s="9">
        <v>1</v>
      </c>
      <c r="F227" s="9">
        <v>2</v>
      </c>
      <c r="G227" t="s">
        <v>225</v>
      </c>
      <c r="H227" s="9">
        <v>4</v>
      </c>
      <c r="I227" s="9">
        <v>11</v>
      </c>
      <c r="J227" s="9">
        <v>28</v>
      </c>
      <c r="K227" s="10">
        <v>36.363636363636296</v>
      </c>
      <c r="L227" s="10">
        <v>14.285714285714199</v>
      </c>
      <c r="M227" s="10">
        <v>0.21413276231263301</v>
      </c>
      <c r="N227" s="1">
        <v>2.6394680782830601E-6</v>
      </c>
      <c r="O227" s="10">
        <v>5.5784835859870796</v>
      </c>
      <c r="P227" s="14">
        <v>66.714285714285694</v>
      </c>
      <c r="Q227" s="11">
        <v>125.707524424944</v>
      </c>
      <c r="R227" s="10">
        <v>1.1100000000000001</v>
      </c>
      <c r="S227" s="10">
        <v>21.57</v>
      </c>
      <c r="T227" s="10">
        <v>1.41</v>
      </c>
      <c r="V227" s="9">
        <f t="shared" si="12"/>
        <v>107</v>
      </c>
      <c r="W227" s="9">
        <f t="shared" si="13"/>
        <v>222</v>
      </c>
      <c r="X227">
        <f t="shared" si="14"/>
        <v>8</v>
      </c>
      <c r="Y227">
        <f t="shared" si="15"/>
        <v>0</v>
      </c>
      <c r="Z227">
        <v>226</v>
      </c>
    </row>
    <row r="228" spans="1:26" x14ac:dyDescent="0.2">
      <c r="A228" s="8">
        <v>59</v>
      </c>
      <c r="B228" s="9">
        <v>1368</v>
      </c>
      <c r="C228" s="9">
        <v>2</v>
      </c>
      <c r="D228" s="9">
        <v>2</v>
      </c>
      <c r="E228" s="9">
        <v>1</v>
      </c>
      <c r="F228" s="9">
        <v>1</v>
      </c>
      <c r="G228" t="s">
        <v>226</v>
      </c>
      <c r="H228" s="9">
        <v>4</v>
      </c>
      <c r="I228" s="9">
        <v>9</v>
      </c>
      <c r="J228" s="9">
        <v>36</v>
      </c>
      <c r="K228" s="10">
        <v>44.4444444444444</v>
      </c>
      <c r="L228" s="10">
        <v>11.1111111111111</v>
      </c>
      <c r="M228" s="10">
        <v>0.15332720024532298</v>
      </c>
      <c r="N228" s="1">
        <v>2.9049200842433902E-6</v>
      </c>
      <c r="O228" s="10">
        <v>5.5368658107605704</v>
      </c>
      <c r="P228" s="14">
        <v>72.466666666666598</v>
      </c>
      <c r="Q228" s="11">
        <v>119.37918473165399</v>
      </c>
      <c r="R228" s="10">
        <v>13.5</v>
      </c>
      <c r="S228" s="10">
        <v>22.8</v>
      </c>
      <c r="T228" s="10">
        <v>1.49</v>
      </c>
      <c r="V228" s="9">
        <f t="shared" si="12"/>
        <v>108</v>
      </c>
      <c r="W228" s="9">
        <f t="shared" si="13"/>
        <v>223</v>
      </c>
      <c r="X228">
        <f t="shared" si="14"/>
        <v>8</v>
      </c>
      <c r="Y228">
        <f t="shared" si="15"/>
        <v>0</v>
      </c>
      <c r="Z228">
        <v>227</v>
      </c>
    </row>
    <row r="229" spans="1:26" x14ac:dyDescent="0.2">
      <c r="A229" s="8">
        <v>59</v>
      </c>
      <c r="B229" s="9">
        <v>1368</v>
      </c>
      <c r="C229" s="9">
        <v>2</v>
      </c>
      <c r="D229" s="9">
        <v>2</v>
      </c>
      <c r="E229" s="9">
        <v>1</v>
      </c>
      <c r="F229" s="9">
        <v>2</v>
      </c>
      <c r="G229" t="s">
        <v>227</v>
      </c>
      <c r="H229" s="9">
        <v>4</v>
      </c>
      <c r="I229" s="9">
        <v>36</v>
      </c>
      <c r="J229" s="9">
        <v>9</v>
      </c>
      <c r="K229" s="10">
        <v>11.1111111111111</v>
      </c>
      <c r="L229" s="10">
        <v>44.4444444444444</v>
      </c>
      <c r="M229" s="10">
        <v>0.97323600973235991</v>
      </c>
      <c r="N229" s="1">
        <v>2.9049200842433902E-6</v>
      </c>
      <c r="O229" s="10">
        <v>5.5368658107605704</v>
      </c>
      <c r="P229" s="14">
        <v>45.6666666666666</v>
      </c>
      <c r="Q229" s="11">
        <v>119.37918473165399</v>
      </c>
      <c r="R229" s="10">
        <v>1.95</v>
      </c>
      <c r="S229" s="10">
        <v>22.8</v>
      </c>
      <c r="T229" s="10">
        <v>1.49</v>
      </c>
      <c r="V229" s="9">
        <f t="shared" si="12"/>
        <v>108</v>
      </c>
      <c r="W229" s="9">
        <f t="shared" si="13"/>
        <v>224</v>
      </c>
      <c r="X229">
        <f t="shared" si="14"/>
        <v>8</v>
      </c>
      <c r="Y229">
        <f t="shared" si="15"/>
        <v>0</v>
      </c>
      <c r="Z229">
        <v>228</v>
      </c>
    </row>
    <row r="230" spans="1:26" x14ac:dyDescent="0.2">
      <c r="A230" s="8">
        <v>60</v>
      </c>
      <c r="B230" s="9">
        <v>1309</v>
      </c>
      <c r="C230" s="9">
        <v>2</v>
      </c>
      <c r="D230" s="9">
        <v>2</v>
      </c>
      <c r="E230" s="9">
        <v>1</v>
      </c>
      <c r="F230" s="9">
        <v>1</v>
      </c>
      <c r="G230" t="s">
        <v>73</v>
      </c>
      <c r="H230" s="9">
        <v>4</v>
      </c>
      <c r="I230" s="9">
        <v>11</v>
      </c>
      <c r="J230" s="9">
        <v>36</v>
      </c>
      <c r="K230" s="10">
        <v>36.363636363636296</v>
      </c>
      <c r="L230" s="10">
        <v>11.1111111111111</v>
      </c>
      <c r="M230" s="10">
        <v>0.21465808034345199</v>
      </c>
      <c r="N230" s="1">
        <v>7.4903406060072898E-6</v>
      </c>
      <c r="O230" s="10">
        <v>5.1254984333090503</v>
      </c>
      <c r="P230" s="14">
        <v>51.761904761904702</v>
      </c>
      <c r="Q230" s="11">
        <v>96.482519991307299</v>
      </c>
      <c r="R230" s="10">
        <v>152.47999999999999</v>
      </c>
      <c r="S230" s="10">
        <v>24.02</v>
      </c>
      <c r="T230" s="10">
        <v>1.57</v>
      </c>
      <c r="V230" s="9">
        <f t="shared" si="12"/>
        <v>109</v>
      </c>
      <c r="W230" s="9">
        <f t="shared" si="13"/>
        <v>225</v>
      </c>
      <c r="X230">
        <f t="shared" si="14"/>
        <v>8</v>
      </c>
      <c r="Y230">
        <f t="shared" si="15"/>
        <v>0</v>
      </c>
      <c r="Z230">
        <v>229</v>
      </c>
    </row>
    <row r="231" spans="1:26" x14ac:dyDescent="0.2">
      <c r="A231" s="8">
        <v>60</v>
      </c>
      <c r="B231" s="9">
        <v>1309</v>
      </c>
      <c r="C231" s="9">
        <v>2</v>
      </c>
      <c r="D231" s="9">
        <v>2</v>
      </c>
      <c r="E231" s="9">
        <v>1</v>
      </c>
      <c r="F231" s="9">
        <v>2</v>
      </c>
      <c r="G231" t="s">
        <v>228</v>
      </c>
      <c r="H231" s="9">
        <v>4</v>
      </c>
      <c r="I231" s="9">
        <v>37</v>
      </c>
      <c r="J231" s="9">
        <v>11</v>
      </c>
      <c r="K231" s="10">
        <v>10.8108108108108</v>
      </c>
      <c r="L231" s="10">
        <v>36.363636363636296</v>
      </c>
      <c r="M231" s="10">
        <v>1.0042604990870301</v>
      </c>
      <c r="N231" s="1">
        <v>8.3838955003564506E-6</v>
      </c>
      <c r="O231" s="10">
        <v>5.0765541435165202</v>
      </c>
      <c r="P231" s="14">
        <v>36.209366391184503</v>
      </c>
      <c r="Q231" s="11">
        <v>93.718382915021706</v>
      </c>
      <c r="R231" s="10">
        <v>10.72</v>
      </c>
      <c r="S231" s="10">
        <v>24.02</v>
      </c>
      <c r="T231" s="10">
        <v>1.57</v>
      </c>
      <c r="V231" s="9">
        <f t="shared" si="12"/>
        <v>109</v>
      </c>
      <c r="W231" s="9">
        <f t="shared" si="13"/>
        <v>226</v>
      </c>
      <c r="X231">
        <f t="shared" si="14"/>
        <v>8</v>
      </c>
      <c r="Y231">
        <f t="shared" si="15"/>
        <v>0</v>
      </c>
      <c r="Z231">
        <v>230</v>
      </c>
    </row>
    <row r="232" spans="1:26" x14ac:dyDescent="0.2">
      <c r="A232" s="8">
        <v>60</v>
      </c>
      <c r="B232" s="9">
        <v>3078</v>
      </c>
      <c r="C232" s="9">
        <v>2</v>
      </c>
      <c r="D232" s="9">
        <v>2</v>
      </c>
      <c r="E232" s="9">
        <v>1</v>
      </c>
      <c r="F232" s="9">
        <v>1</v>
      </c>
      <c r="G232" t="s">
        <v>229</v>
      </c>
      <c r="H232" s="9">
        <v>5</v>
      </c>
      <c r="I232" s="9">
        <v>17</v>
      </c>
      <c r="J232" s="9">
        <v>44</v>
      </c>
      <c r="K232" s="10">
        <v>29.411764705882298</v>
      </c>
      <c r="L232" s="10">
        <v>11.363636363636299</v>
      </c>
      <c r="M232" s="10">
        <v>0.36889025514909302</v>
      </c>
      <c r="N232" s="1">
        <v>3.6865446724431198E-6</v>
      </c>
      <c r="O232" s="10">
        <v>5.4333804990786598</v>
      </c>
      <c r="P232" s="14">
        <v>30.8049242424242</v>
      </c>
      <c r="Q232" s="11">
        <v>81.9952991953121</v>
      </c>
      <c r="R232" s="10">
        <v>28.88</v>
      </c>
      <c r="S232" s="10">
        <v>21.83</v>
      </c>
      <c r="T232" s="10">
        <v>1.42</v>
      </c>
      <c r="V232" s="9">
        <f t="shared" si="12"/>
        <v>110</v>
      </c>
      <c r="W232" s="9">
        <f t="shared" si="13"/>
        <v>227</v>
      </c>
      <c r="X232">
        <f t="shared" si="14"/>
        <v>8</v>
      </c>
      <c r="Y232">
        <f t="shared" si="15"/>
        <v>0</v>
      </c>
      <c r="Z232">
        <v>231</v>
      </c>
    </row>
    <row r="233" spans="1:26" x14ac:dyDescent="0.2">
      <c r="A233" s="8">
        <v>60</v>
      </c>
      <c r="B233" s="9">
        <v>3078</v>
      </c>
      <c r="C233" s="9">
        <v>2</v>
      </c>
      <c r="D233" s="9">
        <v>2</v>
      </c>
      <c r="E233" s="9">
        <v>1</v>
      </c>
      <c r="F233" s="9">
        <v>2</v>
      </c>
      <c r="G233" t="s">
        <v>230</v>
      </c>
      <c r="H233" s="9">
        <v>5</v>
      </c>
      <c r="I233" s="9">
        <v>44</v>
      </c>
      <c r="J233" s="9">
        <v>19</v>
      </c>
      <c r="K233" s="10">
        <v>11.363636363636299</v>
      </c>
      <c r="L233" s="10">
        <v>26.315789473684198</v>
      </c>
      <c r="M233" s="10">
        <v>1.18974984746796</v>
      </c>
      <c r="N233" s="1">
        <v>6.7914069598751903E-6</v>
      </c>
      <c r="O233" s="10">
        <v>5.1680402446278402</v>
      </c>
      <c r="P233" s="14">
        <v>22.1187584345479</v>
      </c>
      <c r="Q233" s="11">
        <v>72.494782133676395</v>
      </c>
      <c r="R233" s="10">
        <v>1.08</v>
      </c>
      <c r="S233" s="10">
        <v>21.83</v>
      </c>
      <c r="T233" s="10">
        <v>1.42</v>
      </c>
      <c r="V233" s="9">
        <f t="shared" si="12"/>
        <v>110</v>
      </c>
      <c r="W233" s="9">
        <f t="shared" si="13"/>
        <v>228</v>
      </c>
      <c r="X233">
        <f t="shared" si="14"/>
        <v>8</v>
      </c>
      <c r="Y233">
        <f t="shared" si="15"/>
        <v>0</v>
      </c>
      <c r="Z233">
        <v>232</v>
      </c>
    </row>
    <row r="234" spans="1:26" x14ac:dyDescent="0.2">
      <c r="A234" s="8">
        <v>61</v>
      </c>
      <c r="B234" s="9">
        <v>2054</v>
      </c>
      <c r="C234" s="9">
        <v>3</v>
      </c>
      <c r="D234" s="9">
        <v>2</v>
      </c>
      <c r="E234" s="9">
        <v>1</v>
      </c>
      <c r="F234" s="9">
        <v>1</v>
      </c>
      <c r="G234" t="s">
        <v>231</v>
      </c>
      <c r="H234" s="9">
        <v>21</v>
      </c>
      <c r="I234" s="9">
        <v>51</v>
      </c>
      <c r="J234" s="9">
        <v>448</v>
      </c>
      <c r="K234" s="10">
        <v>41.176470588235198</v>
      </c>
      <c r="L234" s="10">
        <v>4.6875</v>
      </c>
      <c r="M234" s="10">
        <v>1.0530010530010501</v>
      </c>
      <c r="N234" s="1">
        <v>1.76619332123324E-6</v>
      </c>
      <c r="O234" s="10">
        <v>5.7529617618287903</v>
      </c>
      <c r="P234" s="14">
        <v>4.4515624999999996</v>
      </c>
      <c r="Q234" s="11">
        <v>33.578385713804302</v>
      </c>
      <c r="R234" s="10">
        <v>1.3</v>
      </c>
      <c r="S234" s="10">
        <v>21.66</v>
      </c>
      <c r="T234" s="10">
        <v>1.41</v>
      </c>
      <c r="V234" s="9">
        <f t="shared" si="12"/>
        <v>111</v>
      </c>
      <c r="W234" s="9">
        <f t="shared" si="13"/>
        <v>229</v>
      </c>
      <c r="X234">
        <f t="shared" si="14"/>
        <v>8</v>
      </c>
      <c r="Y234">
        <f t="shared" si="15"/>
        <v>0</v>
      </c>
      <c r="Z234">
        <v>233</v>
      </c>
    </row>
    <row r="235" spans="1:26" x14ac:dyDescent="0.2">
      <c r="A235" s="8">
        <v>61</v>
      </c>
      <c r="B235" s="9">
        <v>2054</v>
      </c>
      <c r="C235" s="9">
        <v>3</v>
      </c>
      <c r="D235" s="9">
        <v>2</v>
      </c>
      <c r="E235" s="9">
        <v>2</v>
      </c>
      <c r="F235" s="9">
        <v>2</v>
      </c>
      <c r="G235" t="s">
        <v>232</v>
      </c>
      <c r="H235" s="9">
        <v>4</v>
      </c>
      <c r="I235" s="9">
        <v>15</v>
      </c>
      <c r="J235" s="9">
        <v>50</v>
      </c>
      <c r="K235" s="10">
        <v>26.6666666666666</v>
      </c>
      <c r="L235" s="10">
        <v>8</v>
      </c>
      <c r="M235" s="10">
        <v>0.33877425315675996</v>
      </c>
      <c r="N235" s="1">
        <v>1.13072166574685E-4</v>
      </c>
      <c r="O235" s="10">
        <v>3.9466442862386502</v>
      </c>
      <c r="P235" s="14">
        <v>23.6145454545454</v>
      </c>
      <c r="Q235" s="11">
        <v>48.021913056293201</v>
      </c>
      <c r="R235" s="10">
        <v>16.5</v>
      </c>
      <c r="S235" s="10">
        <v>21.66</v>
      </c>
      <c r="T235" s="10">
        <v>1.41</v>
      </c>
      <c r="V235" s="9">
        <f t="shared" si="12"/>
        <v>111</v>
      </c>
      <c r="W235" s="9">
        <f t="shared" si="13"/>
        <v>230</v>
      </c>
      <c r="X235">
        <f t="shared" si="14"/>
        <v>8</v>
      </c>
      <c r="Y235">
        <f t="shared" si="15"/>
        <v>0</v>
      </c>
      <c r="Z235">
        <v>234</v>
      </c>
    </row>
    <row r="236" spans="1:26" x14ac:dyDescent="0.2">
      <c r="A236" s="8">
        <v>61</v>
      </c>
      <c r="B236" s="9">
        <v>2054</v>
      </c>
      <c r="C236" s="9">
        <v>3</v>
      </c>
      <c r="D236" s="9">
        <v>2</v>
      </c>
      <c r="E236" s="9">
        <v>2</v>
      </c>
      <c r="F236" s="9">
        <v>2</v>
      </c>
      <c r="G236" t="s">
        <v>233</v>
      </c>
      <c r="H236" s="9">
        <v>19</v>
      </c>
      <c r="I236" s="9">
        <v>420</v>
      </c>
      <c r="J236" s="9">
        <v>50</v>
      </c>
      <c r="K236" s="10">
        <v>4.5238095238095202</v>
      </c>
      <c r="L236" s="10">
        <v>38</v>
      </c>
      <c r="M236" s="10">
        <v>12.3498614105327</v>
      </c>
      <c r="N236" s="1">
        <v>9.1960587554025595E-6</v>
      </c>
      <c r="O236" s="10">
        <v>5.0363982626022299</v>
      </c>
      <c r="P236" s="14">
        <v>3.0769576059850299</v>
      </c>
      <c r="Q236" s="11">
        <v>29.144829551815299</v>
      </c>
      <c r="R236" s="10">
        <v>49.06</v>
      </c>
      <c r="S236" s="10">
        <v>21.66</v>
      </c>
      <c r="T236" s="10">
        <v>1.41</v>
      </c>
      <c r="V236" s="9">
        <f t="shared" si="12"/>
        <v>111</v>
      </c>
      <c r="W236" s="9">
        <f t="shared" si="13"/>
        <v>230</v>
      </c>
      <c r="X236">
        <f t="shared" si="14"/>
        <v>8</v>
      </c>
      <c r="Y236">
        <f t="shared" si="15"/>
        <v>0</v>
      </c>
      <c r="Z236">
        <v>235</v>
      </c>
    </row>
    <row r="237" spans="1:26" x14ac:dyDescent="0.2">
      <c r="A237" s="8">
        <v>61</v>
      </c>
      <c r="B237" s="9">
        <v>2684</v>
      </c>
      <c r="C237" s="9">
        <v>2</v>
      </c>
      <c r="D237" s="9">
        <v>2</v>
      </c>
      <c r="E237" s="9">
        <v>1</v>
      </c>
      <c r="F237" s="9">
        <v>1</v>
      </c>
      <c r="G237" t="s">
        <v>234</v>
      </c>
      <c r="H237" s="9">
        <v>4</v>
      </c>
      <c r="I237" s="9">
        <v>63</v>
      </c>
      <c r="J237" s="9">
        <v>7</v>
      </c>
      <c r="K237" s="10">
        <v>6.3492063492063409</v>
      </c>
      <c r="L237" s="10">
        <v>57.142857142857096</v>
      </c>
      <c r="M237" s="10">
        <v>1.7933130699088098</v>
      </c>
      <c r="N237" s="1">
        <v>8.1249929582442693E-6</v>
      </c>
      <c r="O237" s="10">
        <v>5.09017700674256</v>
      </c>
      <c r="P237" s="14">
        <v>31.864406779661</v>
      </c>
      <c r="Q237" s="11">
        <v>86.551184719535698</v>
      </c>
      <c r="R237" s="10">
        <v>43.75</v>
      </c>
      <c r="S237" s="10">
        <v>22.88</v>
      </c>
      <c r="T237" s="10">
        <v>1.49</v>
      </c>
      <c r="V237" s="9">
        <f t="shared" si="12"/>
        <v>112</v>
      </c>
      <c r="W237" s="9">
        <f t="shared" si="13"/>
        <v>231</v>
      </c>
      <c r="X237">
        <f t="shared" si="14"/>
        <v>8</v>
      </c>
      <c r="Y237">
        <f t="shared" si="15"/>
        <v>0</v>
      </c>
      <c r="Z237">
        <v>236</v>
      </c>
    </row>
    <row r="238" spans="1:26" x14ac:dyDescent="0.2">
      <c r="A238" s="8">
        <v>61</v>
      </c>
      <c r="B238" s="9">
        <v>2684</v>
      </c>
      <c r="C238" s="9">
        <v>2</v>
      </c>
      <c r="D238" s="9">
        <v>2</v>
      </c>
      <c r="E238" s="9">
        <v>1</v>
      </c>
      <c r="F238" s="9">
        <v>2</v>
      </c>
      <c r="G238" t="s">
        <v>235</v>
      </c>
      <c r="H238" s="9">
        <v>4</v>
      </c>
      <c r="I238" s="9">
        <v>7</v>
      </c>
      <c r="J238" s="9">
        <v>61</v>
      </c>
      <c r="K238" s="10">
        <v>57.142857142857096</v>
      </c>
      <c r="L238" s="10">
        <v>6.55737704918032</v>
      </c>
      <c r="M238" s="10">
        <v>9.2707045735475904E-2</v>
      </c>
      <c r="N238" s="1">
        <v>7.1287311682532497E-6</v>
      </c>
      <c r="O238" s="10">
        <v>5.1469877626675</v>
      </c>
      <c r="P238" s="14">
        <v>70.732240437158396</v>
      </c>
      <c r="Q238" s="11">
        <v>89.559200753922397</v>
      </c>
      <c r="R238" s="10">
        <v>6.17</v>
      </c>
      <c r="S238" s="10">
        <v>22.88</v>
      </c>
      <c r="T238" s="10">
        <v>1.49</v>
      </c>
      <c r="V238" s="9">
        <f t="shared" si="12"/>
        <v>112</v>
      </c>
      <c r="W238" s="9">
        <f t="shared" si="13"/>
        <v>232</v>
      </c>
      <c r="X238">
        <f t="shared" si="14"/>
        <v>8</v>
      </c>
      <c r="Y238">
        <f t="shared" si="15"/>
        <v>0</v>
      </c>
      <c r="Z238">
        <v>237</v>
      </c>
    </row>
    <row r="239" spans="1:26" x14ac:dyDescent="0.2">
      <c r="A239" s="8">
        <v>62</v>
      </c>
      <c r="B239" s="9">
        <v>4</v>
      </c>
      <c r="C239" s="9">
        <v>2</v>
      </c>
      <c r="D239" s="9">
        <v>2</v>
      </c>
      <c r="E239" s="9">
        <v>1</v>
      </c>
      <c r="F239" s="9">
        <v>1</v>
      </c>
      <c r="G239" t="s">
        <v>28</v>
      </c>
      <c r="H239" s="9">
        <v>4</v>
      </c>
      <c r="I239" s="9">
        <v>53</v>
      </c>
      <c r="J239" s="9">
        <v>8</v>
      </c>
      <c r="K239" s="10">
        <v>7.5471698113207504</v>
      </c>
      <c r="L239" s="10">
        <v>50</v>
      </c>
      <c r="M239" s="10">
        <v>1.4898145332927901</v>
      </c>
      <c r="N239" s="1">
        <v>7.9518217372020303E-6</v>
      </c>
      <c r="O239" s="10">
        <v>5.0995333644529497</v>
      </c>
      <c r="P239" s="14">
        <v>33.561224489795897</v>
      </c>
      <c r="Q239" s="11">
        <v>90.046404742454897</v>
      </c>
      <c r="R239" s="10">
        <v>1.51</v>
      </c>
      <c r="S239" s="10">
        <v>22.96</v>
      </c>
      <c r="T239" s="10">
        <v>1.5</v>
      </c>
      <c r="V239" s="9">
        <f t="shared" si="12"/>
        <v>113</v>
      </c>
      <c r="W239" s="9">
        <f t="shared" si="13"/>
        <v>233</v>
      </c>
      <c r="X239">
        <f t="shared" si="14"/>
        <v>8</v>
      </c>
      <c r="Y239">
        <f t="shared" si="15"/>
        <v>0</v>
      </c>
      <c r="Z239">
        <v>238</v>
      </c>
    </row>
    <row r="240" spans="1:26" x14ac:dyDescent="0.2">
      <c r="A240" s="8">
        <v>62</v>
      </c>
      <c r="B240" s="9">
        <v>4</v>
      </c>
      <c r="C240" s="9">
        <v>2</v>
      </c>
      <c r="D240" s="9">
        <v>2</v>
      </c>
      <c r="E240" s="9">
        <v>1</v>
      </c>
      <c r="F240" s="9">
        <v>2</v>
      </c>
      <c r="G240" t="s">
        <v>236</v>
      </c>
      <c r="H240" s="9">
        <v>4</v>
      </c>
      <c r="I240" s="9">
        <v>8</v>
      </c>
      <c r="J240" s="9">
        <v>53</v>
      </c>
      <c r="K240" s="10">
        <v>50</v>
      </c>
      <c r="L240" s="10">
        <v>7.5471698113207504</v>
      </c>
      <c r="M240" s="10">
        <v>0.12330456226880299</v>
      </c>
      <c r="N240" s="1">
        <v>7.9518217372020405E-6</v>
      </c>
      <c r="O240" s="10">
        <v>5.0995333644529497</v>
      </c>
      <c r="P240" s="14">
        <v>61.207547169811299</v>
      </c>
      <c r="Q240" s="11">
        <v>90.046404742454897</v>
      </c>
      <c r="R240" s="10">
        <v>16.21</v>
      </c>
      <c r="S240" s="10">
        <v>22.96</v>
      </c>
      <c r="T240" s="10">
        <v>1.5</v>
      </c>
      <c r="V240" s="9">
        <f t="shared" si="12"/>
        <v>113</v>
      </c>
      <c r="W240" s="9">
        <f t="shared" si="13"/>
        <v>234</v>
      </c>
      <c r="X240">
        <f t="shared" si="14"/>
        <v>8</v>
      </c>
      <c r="Y240">
        <f t="shared" si="15"/>
        <v>0</v>
      </c>
      <c r="Z240">
        <v>239</v>
      </c>
    </row>
    <row r="241" spans="1:26" x14ac:dyDescent="0.2">
      <c r="A241" s="8">
        <v>64</v>
      </c>
      <c r="B241" s="9">
        <v>3134</v>
      </c>
      <c r="C241" s="9">
        <v>2</v>
      </c>
      <c r="D241" s="9">
        <v>2</v>
      </c>
      <c r="E241" s="9">
        <v>1</v>
      </c>
      <c r="F241" s="9">
        <v>1</v>
      </c>
      <c r="G241" t="s">
        <v>156</v>
      </c>
      <c r="H241" s="9">
        <v>5</v>
      </c>
      <c r="I241" s="9">
        <v>135</v>
      </c>
      <c r="J241" s="9">
        <v>5</v>
      </c>
      <c r="K241" s="10">
        <v>3.7037037037037002</v>
      </c>
      <c r="L241" s="10">
        <v>100</v>
      </c>
      <c r="M241" s="10">
        <v>3.9489671931956196</v>
      </c>
      <c r="N241" s="1">
        <v>2.1423406859286199E-7</v>
      </c>
      <c r="O241" s="10">
        <v>6.6691114642914</v>
      </c>
      <c r="P241" s="14">
        <v>25.323076923076901</v>
      </c>
      <c r="Q241" s="11">
        <v>94.104847566177298</v>
      </c>
      <c r="R241" s="10">
        <v>48.03</v>
      </c>
      <c r="S241" s="10">
        <v>23.29</v>
      </c>
      <c r="T241" s="10">
        <v>1.52</v>
      </c>
      <c r="V241" s="9">
        <f t="shared" si="12"/>
        <v>114</v>
      </c>
      <c r="W241" s="9">
        <f t="shared" si="13"/>
        <v>235</v>
      </c>
      <c r="X241">
        <f t="shared" si="14"/>
        <v>8</v>
      </c>
      <c r="Y241">
        <f t="shared" si="15"/>
        <v>0</v>
      </c>
      <c r="Z241">
        <v>240</v>
      </c>
    </row>
    <row r="242" spans="1:26" x14ac:dyDescent="0.2">
      <c r="A242" s="8">
        <v>64</v>
      </c>
      <c r="B242" s="9">
        <v>3134</v>
      </c>
      <c r="C242" s="9">
        <v>2</v>
      </c>
      <c r="D242" s="9">
        <v>2</v>
      </c>
      <c r="E242" s="9">
        <v>1</v>
      </c>
      <c r="F242" s="9">
        <v>2</v>
      </c>
      <c r="G242" t="s">
        <v>237</v>
      </c>
      <c r="H242" s="9">
        <v>5</v>
      </c>
      <c r="I242" s="9">
        <v>5</v>
      </c>
      <c r="J242" s="9">
        <v>147</v>
      </c>
      <c r="K242" s="10">
        <v>100</v>
      </c>
      <c r="L242" s="10">
        <v>3.4013605442176797</v>
      </c>
      <c r="M242" s="10">
        <v>0</v>
      </c>
      <c r="N242" s="1">
        <v>3.2998167548924002E-7</v>
      </c>
      <c r="O242" s="10">
        <v>6.4815101766520202</v>
      </c>
      <c r="P242" s="14" t="s">
        <v>238</v>
      </c>
      <c r="Q242" s="11">
        <v>86.018497266099601</v>
      </c>
      <c r="R242" s="10">
        <v>0.45</v>
      </c>
      <c r="S242" s="10">
        <v>23.29</v>
      </c>
      <c r="T242" s="10">
        <v>1.52</v>
      </c>
      <c r="V242" s="9">
        <f t="shared" si="12"/>
        <v>114</v>
      </c>
      <c r="W242" s="9">
        <f t="shared" si="13"/>
        <v>236</v>
      </c>
      <c r="X242">
        <f t="shared" si="14"/>
        <v>8</v>
      </c>
      <c r="Y242">
        <f t="shared" si="15"/>
        <v>0</v>
      </c>
      <c r="Z242">
        <v>241</v>
      </c>
    </row>
    <row r="243" spans="1:26" x14ac:dyDescent="0.2">
      <c r="A243" s="8">
        <v>65</v>
      </c>
      <c r="B243" s="9">
        <v>1130</v>
      </c>
      <c r="C243" s="9">
        <v>2</v>
      </c>
      <c r="D243" s="9">
        <v>2</v>
      </c>
      <c r="E243" s="9">
        <v>1</v>
      </c>
      <c r="F243" s="9">
        <v>1</v>
      </c>
      <c r="G243" t="s">
        <v>233</v>
      </c>
      <c r="H243" s="9">
        <v>55</v>
      </c>
      <c r="I243" s="9">
        <v>420</v>
      </c>
      <c r="J243" s="9">
        <v>207</v>
      </c>
      <c r="K243" s="10">
        <v>13.095238095237999</v>
      </c>
      <c r="L243" s="10">
        <v>26.570048309178702</v>
      </c>
      <c r="M243" s="10">
        <v>11.8122977346278</v>
      </c>
      <c r="N243" s="1">
        <v>4.1891606694289702E-8</v>
      </c>
      <c r="O243" s="10">
        <v>7.3778729825587401</v>
      </c>
      <c r="P243" s="14">
        <v>2.2493547746674598</v>
      </c>
      <c r="Q243" s="11">
        <v>38.010094696055397</v>
      </c>
      <c r="R243" s="10">
        <v>49.06</v>
      </c>
      <c r="S243" s="10">
        <v>21.42</v>
      </c>
      <c r="T243" s="10">
        <v>1.4</v>
      </c>
      <c r="V243" s="9">
        <f t="shared" si="12"/>
        <v>115</v>
      </c>
      <c r="W243" s="9">
        <f t="shared" si="13"/>
        <v>237</v>
      </c>
      <c r="X243">
        <f t="shared" si="14"/>
        <v>8</v>
      </c>
      <c r="Y243">
        <f t="shared" si="15"/>
        <v>0</v>
      </c>
      <c r="Z243">
        <v>242</v>
      </c>
    </row>
    <row r="244" spans="1:26" x14ac:dyDescent="0.2">
      <c r="A244" s="8">
        <v>65</v>
      </c>
      <c r="B244" s="9">
        <v>1130</v>
      </c>
      <c r="C244" s="9">
        <v>2</v>
      </c>
      <c r="D244" s="9">
        <v>2</v>
      </c>
      <c r="E244" s="9">
        <v>1</v>
      </c>
      <c r="F244" s="9">
        <v>2</v>
      </c>
      <c r="G244" t="s">
        <v>187</v>
      </c>
      <c r="H244" s="9">
        <v>55</v>
      </c>
      <c r="I244" s="9">
        <v>209</v>
      </c>
      <c r="J244" s="9">
        <v>432</v>
      </c>
      <c r="K244" s="10">
        <v>26.315789473684198</v>
      </c>
      <c r="L244" s="10">
        <v>12.731481481481399</v>
      </c>
      <c r="M244" s="10">
        <v>5.3752181500872602</v>
      </c>
      <c r="N244" s="1">
        <v>1.67381990760082E-7</v>
      </c>
      <c r="O244" s="10">
        <v>6.7762912711591596</v>
      </c>
      <c r="P244" s="14">
        <v>2.3685515873015799</v>
      </c>
      <c r="Q244" s="11">
        <v>34.215136502122398</v>
      </c>
      <c r="R244" s="10">
        <v>2.1</v>
      </c>
      <c r="S244" s="10">
        <v>21.42</v>
      </c>
      <c r="T244" s="10">
        <v>1.4</v>
      </c>
      <c r="V244" s="9">
        <f t="shared" si="12"/>
        <v>115</v>
      </c>
      <c r="W244" s="9">
        <f t="shared" si="13"/>
        <v>238</v>
      </c>
      <c r="X244">
        <f t="shared" si="14"/>
        <v>8</v>
      </c>
      <c r="Y244">
        <f t="shared" si="15"/>
        <v>0</v>
      </c>
      <c r="Z244">
        <v>243</v>
      </c>
    </row>
    <row r="245" spans="1:26" x14ac:dyDescent="0.2">
      <c r="A245" s="8">
        <v>66</v>
      </c>
      <c r="B245" s="9">
        <v>1329</v>
      </c>
      <c r="C245" s="9">
        <v>2</v>
      </c>
      <c r="D245" s="9">
        <v>2</v>
      </c>
      <c r="E245" s="9">
        <v>1</v>
      </c>
      <c r="F245" s="9">
        <v>1</v>
      </c>
      <c r="G245" t="s">
        <v>86</v>
      </c>
      <c r="H245" s="9">
        <v>5</v>
      </c>
      <c r="I245" s="9">
        <v>141</v>
      </c>
      <c r="J245" s="9">
        <v>7</v>
      </c>
      <c r="K245" s="10">
        <v>3.5460992907801399</v>
      </c>
      <c r="L245" s="10">
        <v>71.428571428571402</v>
      </c>
      <c r="M245" s="10">
        <v>4.1337386018236995</v>
      </c>
      <c r="N245" s="1">
        <v>5.2301734266091796E-6</v>
      </c>
      <c r="O245" s="10">
        <v>5.2814839101823097</v>
      </c>
      <c r="P245" s="14">
        <v>17.279411764705799</v>
      </c>
      <c r="Q245" s="11">
        <v>61.7073777103518</v>
      </c>
      <c r="R245" s="10">
        <v>29.51</v>
      </c>
      <c r="S245" s="10">
        <v>22.14</v>
      </c>
      <c r="T245" s="10">
        <v>1.44</v>
      </c>
      <c r="V245" s="9">
        <f t="shared" si="12"/>
        <v>116</v>
      </c>
      <c r="W245" s="9">
        <f t="shared" si="13"/>
        <v>239</v>
      </c>
      <c r="X245">
        <f t="shared" si="14"/>
        <v>8</v>
      </c>
      <c r="Y245">
        <f t="shared" si="15"/>
        <v>0</v>
      </c>
      <c r="Z245">
        <v>244</v>
      </c>
    </row>
    <row r="246" spans="1:26" x14ac:dyDescent="0.2">
      <c r="A246" s="8">
        <v>66</v>
      </c>
      <c r="B246" s="9">
        <v>1329</v>
      </c>
      <c r="C246" s="9">
        <v>2</v>
      </c>
      <c r="D246" s="9">
        <v>2</v>
      </c>
      <c r="E246" s="9">
        <v>1</v>
      </c>
      <c r="F246" s="9">
        <v>2</v>
      </c>
      <c r="G246" t="s">
        <v>239</v>
      </c>
      <c r="H246" s="9">
        <v>5</v>
      </c>
      <c r="I246" s="9">
        <v>7</v>
      </c>
      <c r="J246" s="9">
        <v>141</v>
      </c>
      <c r="K246" s="10">
        <v>71.428571428571402</v>
      </c>
      <c r="L246" s="10">
        <v>3.5460992907801399</v>
      </c>
      <c r="M246" s="10">
        <v>6.3371356147021496E-2</v>
      </c>
      <c r="N246" s="1">
        <v>5.2301734266091898E-6</v>
      </c>
      <c r="O246" s="10">
        <v>5.2814839101823097</v>
      </c>
      <c r="P246" s="14">
        <v>55.957446808510603</v>
      </c>
      <c r="Q246" s="11">
        <v>61.7073777103518</v>
      </c>
      <c r="R246" s="10">
        <v>2.1</v>
      </c>
      <c r="S246" s="10">
        <v>22.14</v>
      </c>
      <c r="T246" s="10">
        <v>1.44</v>
      </c>
      <c r="V246" s="9">
        <f t="shared" si="12"/>
        <v>116</v>
      </c>
      <c r="W246" s="9">
        <f t="shared" si="13"/>
        <v>240</v>
      </c>
      <c r="X246">
        <f t="shared" si="14"/>
        <v>8</v>
      </c>
      <c r="Y246">
        <f t="shared" si="15"/>
        <v>0</v>
      </c>
      <c r="Z246">
        <v>245</v>
      </c>
    </row>
    <row r="247" spans="1:26" x14ac:dyDescent="0.2">
      <c r="A247" s="8">
        <v>67</v>
      </c>
      <c r="B247" s="9">
        <v>333</v>
      </c>
      <c r="C247" s="9">
        <v>2</v>
      </c>
      <c r="D247" s="9">
        <v>2</v>
      </c>
      <c r="E247" s="9">
        <v>1</v>
      </c>
      <c r="F247" s="9">
        <v>1</v>
      </c>
      <c r="G247" t="s">
        <v>240</v>
      </c>
      <c r="H247" s="9">
        <v>4</v>
      </c>
      <c r="I247" s="9">
        <v>34</v>
      </c>
      <c r="J247" s="9">
        <v>11</v>
      </c>
      <c r="K247" s="10">
        <v>11.764705882352899</v>
      </c>
      <c r="L247" s="10">
        <v>36.363636363636296</v>
      </c>
      <c r="M247" s="10">
        <v>0.91296409007912294</v>
      </c>
      <c r="N247" s="1">
        <v>5.9173775217837701E-6</v>
      </c>
      <c r="O247" s="10">
        <v>5.2278707223577197</v>
      </c>
      <c r="P247" s="14">
        <v>39.830303030303</v>
      </c>
      <c r="Q247" s="11">
        <v>102.49886677016799</v>
      </c>
      <c r="R247" s="10">
        <v>2.95</v>
      </c>
      <c r="S247" s="10">
        <v>20.63</v>
      </c>
      <c r="T247" s="10">
        <v>1.34</v>
      </c>
      <c r="V247" s="9">
        <f t="shared" si="12"/>
        <v>117</v>
      </c>
      <c r="W247" s="9">
        <f t="shared" si="13"/>
        <v>241</v>
      </c>
      <c r="X247">
        <f t="shared" si="14"/>
        <v>8</v>
      </c>
      <c r="Y247">
        <f t="shared" si="15"/>
        <v>0</v>
      </c>
      <c r="Z247">
        <v>246</v>
      </c>
    </row>
    <row r="248" spans="1:26" x14ac:dyDescent="0.2">
      <c r="A248" s="8">
        <v>67</v>
      </c>
      <c r="B248" s="9">
        <v>333</v>
      </c>
      <c r="C248" s="9">
        <v>2</v>
      </c>
      <c r="D248" s="9">
        <v>2</v>
      </c>
      <c r="E248" s="9">
        <v>1</v>
      </c>
      <c r="F248" s="9">
        <v>2</v>
      </c>
      <c r="G248" t="s">
        <v>241</v>
      </c>
      <c r="H248" s="9">
        <v>4</v>
      </c>
      <c r="I248" s="9">
        <v>11</v>
      </c>
      <c r="J248" s="9">
        <v>34</v>
      </c>
      <c r="K248" s="10">
        <v>36.363636363636296</v>
      </c>
      <c r="L248" s="10">
        <v>11.764705882352899</v>
      </c>
      <c r="M248" s="10">
        <v>0.21452650934722597</v>
      </c>
      <c r="N248" s="1">
        <v>5.91737752178376E-6</v>
      </c>
      <c r="O248" s="10">
        <v>5.2278707223577197</v>
      </c>
      <c r="P248" s="14">
        <v>54.8403361344537</v>
      </c>
      <c r="Q248" s="11">
        <v>102.49886677016799</v>
      </c>
      <c r="R248" s="10">
        <v>43.82</v>
      </c>
      <c r="S248" s="10">
        <v>20.63</v>
      </c>
      <c r="T248" s="10">
        <v>1.34</v>
      </c>
      <c r="V248" s="9">
        <f t="shared" si="12"/>
        <v>117</v>
      </c>
      <c r="W248" s="9">
        <f t="shared" si="13"/>
        <v>242</v>
      </c>
      <c r="X248">
        <f t="shared" si="14"/>
        <v>8</v>
      </c>
      <c r="Y248">
        <f t="shared" si="15"/>
        <v>0</v>
      </c>
      <c r="Z248">
        <v>247</v>
      </c>
    </row>
    <row r="249" spans="1:26" x14ac:dyDescent="0.2">
      <c r="A249" s="8">
        <v>68</v>
      </c>
      <c r="B249" s="9">
        <v>2184</v>
      </c>
      <c r="C249" s="9">
        <v>2</v>
      </c>
      <c r="D249" s="9">
        <v>2</v>
      </c>
      <c r="E249" s="9">
        <v>1</v>
      </c>
      <c r="F249" s="9">
        <v>1</v>
      </c>
      <c r="G249" t="s">
        <v>242</v>
      </c>
      <c r="H249" s="9">
        <v>7</v>
      </c>
      <c r="I249" s="9">
        <v>38</v>
      </c>
      <c r="J249" s="9">
        <v>52</v>
      </c>
      <c r="K249" s="10">
        <v>18.421052631578899</v>
      </c>
      <c r="L249" s="10">
        <v>13.4615384615384</v>
      </c>
      <c r="M249" s="10">
        <v>0.95531587057010692</v>
      </c>
      <c r="N249" s="1">
        <v>2.7835153244942101E-6</v>
      </c>
      <c r="O249" s="10">
        <v>5.5554063833654999</v>
      </c>
      <c r="P249" s="14">
        <v>14.091191066997499</v>
      </c>
      <c r="Q249" s="11">
        <v>59.713577675885197</v>
      </c>
      <c r="R249" s="10">
        <v>10.89</v>
      </c>
      <c r="S249" s="10">
        <v>23.94</v>
      </c>
      <c r="T249" s="10">
        <v>1.56</v>
      </c>
      <c r="V249" s="9">
        <f t="shared" si="12"/>
        <v>118</v>
      </c>
      <c r="W249" s="9">
        <f t="shared" si="13"/>
        <v>243</v>
      </c>
      <c r="X249">
        <f t="shared" si="14"/>
        <v>8</v>
      </c>
      <c r="Y249">
        <f t="shared" si="15"/>
        <v>0</v>
      </c>
      <c r="Z249">
        <v>248</v>
      </c>
    </row>
    <row r="250" spans="1:26" x14ac:dyDescent="0.2">
      <c r="A250" s="8">
        <v>68</v>
      </c>
      <c r="B250" s="9">
        <v>2184</v>
      </c>
      <c r="C250" s="9">
        <v>2</v>
      </c>
      <c r="D250" s="9">
        <v>2</v>
      </c>
      <c r="E250" s="9">
        <v>1</v>
      </c>
      <c r="F250" s="9">
        <v>2</v>
      </c>
      <c r="G250" t="s">
        <v>243</v>
      </c>
      <c r="H250" s="9">
        <v>7</v>
      </c>
      <c r="I250" s="9">
        <v>50</v>
      </c>
      <c r="J250" s="9">
        <v>38</v>
      </c>
      <c r="K250" s="10">
        <v>14.000000000000002</v>
      </c>
      <c r="L250" s="10">
        <v>18.421052631578899</v>
      </c>
      <c r="M250" s="10">
        <v>1.31942313593126</v>
      </c>
      <c r="N250" s="1">
        <v>2.1130895466838801E-6</v>
      </c>
      <c r="O250" s="10">
        <v>5.67508209840123</v>
      </c>
      <c r="P250" s="14">
        <v>13.9614443084455</v>
      </c>
      <c r="Q250" s="11">
        <v>62.549727309296799</v>
      </c>
      <c r="R250" s="10" t="s">
        <v>57</v>
      </c>
      <c r="S250" s="10">
        <v>23.94</v>
      </c>
      <c r="T250" s="10">
        <v>1.56</v>
      </c>
      <c r="V250" s="9">
        <f t="shared" si="12"/>
        <v>118</v>
      </c>
      <c r="W250" s="9">
        <f t="shared" si="13"/>
        <v>244</v>
      </c>
      <c r="X250">
        <f t="shared" si="14"/>
        <v>8</v>
      </c>
      <c r="Y250">
        <f t="shared" si="15"/>
        <v>0</v>
      </c>
      <c r="Z250">
        <v>249</v>
      </c>
    </row>
    <row r="251" spans="1:26" x14ac:dyDescent="0.2">
      <c r="A251" s="8">
        <v>68</v>
      </c>
      <c r="B251" s="9">
        <v>2326</v>
      </c>
      <c r="C251" s="9">
        <v>2</v>
      </c>
      <c r="D251" s="9">
        <v>2</v>
      </c>
      <c r="E251" s="9">
        <v>1</v>
      </c>
      <c r="F251" s="9">
        <v>1</v>
      </c>
      <c r="G251" t="s">
        <v>201</v>
      </c>
      <c r="H251" s="9">
        <v>4</v>
      </c>
      <c r="I251" s="9">
        <v>27</v>
      </c>
      <c r="J251" s="9">
        <v>15</v>
      </c>
      <c r="K251" s="10">
        <v>14.814814814814801</v>
      </c>
      <c r="L251" s="10">
        <v>26.6666666666666</v>
      </c>
      <c r="M251" s="10">
        <v>0.70079219987812302</v>
      </c>
      <c r="N251" s="1">
        <v>9.1663264534073093E-6</v>
      </c>
      <c r="O251" s="10">
        <v>5.0378046796693701</v>
      </c>
      <c r="P251" s="14">
        <v>38.052173913043397</v>
      </c>
      <c r="Q251" s="11">
        <v>94.041388718062393</v>
      </c>
      <c r="R251" s="10">
        <v>3.53</v>
      </c>
      <c r="S251" s="10">
        <v>23.87</v>
      </c>
      <c r="T251" s="10">
        <v>1.55</v>
      </c>
      <c r="V251" s="9">
        <f t="shared" si="12"/>
        <v>119</v>
      </c>
      <c r="W251" s="9">
        <f t="shared" si="13"/>
        <v>245</v>
      </c>
      <c r="X251">
        <f t="shared" si="14"/>
        <v>8</v>
      </c>
      <c r="Y251">
        <f t="shared" si="15"/>
        <v>0</v>
      </c>
      <c r="Z251">
        <v>250</v>
      </c>
    </row>
    <row r="252" spans="1:26" x14ac:dyDescent="0.2">
      <c r="A252" s="8">
        <v>68</v>
      </c>
      <c r="B252" s="9">
        <v>2326</v>
      </c>
      <c r="C252" s="9">
        <v>2</v>
      </c>
      <c r="D252" s="9">
        <v>2</v>
      </c>
      <c r="E252" s="9">
        <v>1</v>
      </c>
      <c r="F252" s="9">
        <v>2</v>
      </c>
      <c r="G252" t="s">
        <v>244</v>
      </c>
      <c r="H252" s="9">
        <v>4</v>
      </c>
      <c r="I252" s="9">
        <v>15</v>
      </c>
      <c r="J252" s="9">
        <v>27</v>
      </c>
      <c r="K252" s="10">
        <v>26.6666666666666</v>
      </c>
      <c r="L252" s="10">
        <v>14.814814814814801</v>
      </c>
      <c r="M252" s="10">
        <v>0.336391437308868</v>
      </c>
      <c r="N252" s="1">
        <v>9.1663264534073195E-6</v>
      </c>
      <c r="O252" s="10">
        <v>5.0378046796693701</v>
      </c>
      <c r="P252" s="14">
        <v>44.040404040403999</v>
      </c>
      <c r="Q252" s="11">
        <v>94.041388718062393</v>
      </c>
      <c r="R252" s="10">
        <v>0.16</v>
      </c>
      <c r="S252" s="10">
        <v>23.87</v>
      </c>
      <c r="T252" s="10">
        <v>1.55</v>
      </c>
      <c r="V252" s="9">
        <f t="shared" si="12"/>
        <v>119</v>
      </c>
      <c r="W252" s="9">
        <f t="shared" si="13"/>
        <v>246</v>
      </c>
      <c r="X252">
        <f t="shared" si="14"/>
        <v>8</v>
      </c>
      <c r="Y252">
        <f t="shared" si="15"/>
        <v>0</v>
      </c>
      <c r="Z252">
        <v>251</v>
      </c>
    </row>
    <row r="253" spans="1:26" x14ac:dyDescent="0.2">
      <c r="A253" s="8">
        <v>70</v>
      </c>
      <c r="B253" s="9">
        <v>391</v>
      </c>
      <c r="C253" s="9">
        <v>2</v>
      </c>
      <c r="D253" s="9">
        <v>2</v>
      </c>
      <c r="E253" s="9">
        <v>1</v>
      </c>
      <c r="F253" s="9">
        <v>1</v>
      </c>
      <c r="G253" t="s">
        <v>245</v>
      </c>
      <c r="H253" s="9">
        <v>12</v>
      </c>
      <c r="I253" s="9">
        <v>100</v>
      </c>
      <c r="J253" s="9">
        <v>71</v>
      </c>
      <c r="K253" s="10">
        <v>12</v>
      </c>
      <c r="L253" s="10">
        <v>16.901408450704199</v>
      </c>
      <c r="M253" s="10">
        <v>2.7278363298202097</v>
      </c>
      <c r="N253" s="1">
        <v>1.8091623139816999E-6</v>
      </c>
      <c r="O253" s="10">
        <v>5.7425224674661601</v>
      </c>
      <c r="P253" s="14">
        <v>6.1959026888604303</v>
      </c>
      <c r="Q253" s="11">
        <v>42.755504637971697</v>
      </c>
      <c r="R253" s="10">
        <v>10.3</v>
      </c>
      <c r="S253" s="10">
        <v>22.59</v>
      </c>
      <c r="T253" s="10">
        <v>1.47</v>
      </c>
      <c r="V253" s="9">
        <f t="shared" si="12"/>
        <v>120</v>
      </c>
      <c r="W253" s="9">
        <f t="shared" si="13"/>
        <v>247</v>
      </c>
      <c r="X253">
        <f t="shared" si="14"/>
        <v>8</v>
      </c>
      <c r="Y253">
        <f t="shared" si="15"/>
        <v>0</v>
      </c>
      <c r="Z253">
        <v>252</v>
      </c>
    </row>
    <row r="254" spans="1:26" x14ac:dyDescent="0.2">
      <c r="A254" s="8">
        <v>70</v>
      </c>
      <c r="B254" s="9">
        <v>391</v>
      </c>
      <c r="C254" s="9">
        <v>2</v>
      </c>
      <c r="D254" s="9">
        <v>2</v>
      </c>
      <c r="E254" s="9">
        <v>1</v>
      </c>
      <c r="F254" s="9">
        <v>2</v>
      </c>
      <c r="G254" t="s">
        <v>219</v>
      </c>
      <c r="H254" s="9">
        <v>12</v>
      </c>
      <c r="I254" s="9">
        <v>71</v>
      </c>
      <c r="J254" s="9">
        <v>99</v>
      </c>
      <c r="K254" s="10">
        <v>16.901408450704199</v>
      </c>
      <c r="L254" s="10">
        <v>12.1212121212121</v>
      </c>
      <c r="M254" s="10">
        <v>1.84490306441525</v>
      </c>
      <c r="N254" s="1">
        <v>1.61930948151404E-6</v>
      </c>
      <c r="O254" s="10">
        <v>5.7906701411977197</v>
      </c>
      <c r="P254" s="14">
        <v>6.5701078582434498</v>
      </c>
      <c r="Q254" s="11">
        <v>43.373051377757498</v>
      </c>
      <c r="R254" s="10">
        <v>7.33</v>
      </c>
      <c r="S254" s="10">
        <v>22.59</v>
      </c>
      <c r="T254" s="10">
        <v>1.47</v>
      </c>
      <c r="V254" s="9">
        <f t="shared" si="12"/>
        <v>120</v>
      </c>
      <c r="W254" s="9">
        <f t="shared" si="13"/>
        <v>248</v>
      </c>
      <c r="X254">
        <f t="shared" si="14"/>
        <v>8</v>
      </c>
      <c r="Y254">
        <f t="shared" si="15"/>
        <v>0</v>
      </c>
      <c r="Z254">
        <v>253</v>
      </c>
    </row>
    <row r="255" spans="1:26" x14ac:dyDescent="0.2">
      <c r="A255" s="8">
        <v>70</v>
      </c>
      <c r="B255" s="9">
        <v>2724</v>
      </c>
      <c r="C255" s="9">
        <v>3</v>
      </c>
      <c r="D255" s="9">
        <v>3</v>
      </c>
      <c r="E255" s="9">
        <v>1</v>
      </c>
      <c r="F255" s="9">
        <v>1</v>
      </c>
      <c r="G255" t="s">
        <v>246</v>
      </c>
      <c r="H255" s="9">
        <v>3</v>
      </c>
      <c r="I255" s="9">
        <v>7</v>
      </c>
      <c r="J255" s="9">
        <v>3</v>
      </c>
      <c r="K255" s="10">
        <v>42.857142857142797</v>
      </c>
      <c r="L255" s="10">
        <v>100</v>
      </c>
      <c r="M255" s="10">
        <v>0.12143290831815401</v>
      </c>
      <c r="N255" s="1">
        <v>1.1729722055321301E-8</v>
      </c>
      <c r="O255" s="10">
        <v>7.9307122787003497</v>
      </c>
      <c r="P255" s="14">
        <v>823.5</v>
      </c>
      <c r="Q255" s="11">
        <v>979.22452476456203</v>
      </c>
      <c r="R255" s="10">
        <v>41.12</v>
      </c>
      <c r="S255" s="10">
        <v>29.67</v>
      </c>
      <c r="T255" s="10">
        <v>1.93</v>
      </c>
      <c r="V255" s="9">
        <f t="shared" si="12"/>
        <v>121</v>
      </c>
      <c r="W255" s="9">
        <f t="shared" si="13"/>
        <v>249</v>
      </c>
      <c r="X255">
        <f t="shared" si="14"/>
        <v>8</v>
      </c>
      <c r="Y255">
        <f t="shared" si="15"/>
        <v>0</v>
      </c>
      <c r="Z255">
        <v>254</v>
      </c>
    </row>
    <row r="256" spans="1:26" x14ac:dyDescent="0.2">
      <c r="A256" s="8">
        <v>70</v>
      </c>
      <c r="B256" s="9">
        <v>2724</v>
      </c>
      <c r="C256" s="9">
        <v>3</v>
      </c>
      <c r="D256" s="9">
        <v>3</v>
      </c>
      <c r="E256" s="9">
        <v>1</v>
      </c>
      <c r="F256" s="9">
        <v>2</v>
      </c>
      <c r="G256" t="s">
        <v>247</v>
      </c>
      <c r="H256" s="9">
        <v>2</v>
      </c>
      <c r="I256" s="9">
        <v>2</v>
      </c>
      <c r="J256" s="9">
        <v>7</v>
      </c>
      <c r="K256" s="10">
        <v>100</v>
      </c>
      <c r="L256" s="10">
        <v>28.571428571428498</v>
      </c>
      <c r="M256" s="10">
        <v>0</v>
      </c>
      <c r="N256" s="1">
        <v>7.7298868344567496E-6</v>
      </c>
      <c r="O256" s="10">
        <v>5.11182686410634</v>
      </c>
      <c r="P256" s="14" t="s">
        <v>248</v>
      </c>
      <c r="Q256" s="11">
        <v>528.32075170309599</v>
      </c>
      <c r="R256" s="10">
        <v>8.56</v>
      </c>
      <c r="S256" s="10">
        <v>29.67</v>
      </c>
      <c r="T256" s="10">
        <v>1.93</v>
      </c>
      <c r="V256" s="9">
        <f t="shared" si="12"/>
        <v>121</v>
      </c>
      <c r="W256" s="9">
        <f t="shared" si="13"/>
        <v>250</v>
      </c>
      <c r="X256">
        <f t="shared" si="14"/>
        <v>8</v>
      </c>
      <c r="Y256">
        <f t="shared" si="15"/>
        <v>0</v>
      </c>
      <c r="Z256">
        <v>255</v>
      </c>
    </row>
    <row r="257" spans="1:26" x14ac:dyDescent="0.2">
      <c r="A257" s="8">
        <v>70</v>
      </c>
      <c r="B257" s="9">
        <v>2724</v>
      </c>
      <c r="C257" s="9">
        <v>3</v>
      </c>
      <c r="D257" s="9">
        <v>3</v>
      </c>
      <c r="E257" s="9">
        <v>1</v>
      </c>
      <c r="F257" s="9">
        <v>3</v>
      </c>
      <c r="G257" t="s">
        <v>249</v>
      </c>
      <c r="H257" s="9">
        <v>2</v>
      </c>
      <c r="I257" s="9">
        <v>2</v>
      </c>
      <c r="J257" s="9">
        <v>7</v>
      </c>
      <c r="K257" s="10">
        <v>100</v>
      </c>
      <c r="L257" s="10">
        <v>28.571428571428498</v>
      </c>
      <c r="M257" s="10">
        <v>0</v>
      </c>
      <c r="N257" s="1">
        <v>7.7298868344567496E-6</v>
      </c>
      <c r="O257" s="10">
        <v>5.11182686410634</v>
      </c>
      <c r="P257" s="14" t="s">
        <v>248</v>
      </c>
      <c r="Q257" s="11">
        <v>528.32075170309599</v>
      </c>
      <c r="R257" s="10">
        <v>1.17</v>
      </c>
      <c r="S257" s="10">
        <v>29.67</v>
      </c>
      <c r="T257" s="10">
        <v>1.93</v>
      </c>
      <c r="V257" s="9">
        <f t="shared" si="12"/>
        <v>121</v>
      </c>
      <c r="W257" s="9">
        <f t="shared" si="13"/>
        <v>251</v>
      </c>
      <c r="X257">
        <f t="shared" si="14"/>
        <v>8</v>
      </c>
      <c r="Y257">
        <f t="shared" si="15"/>
        <v>0</v>
      </c>
      <c r="Z257">
        <v>256</v>
      </c>
    </row>
    <row r="258" spans="1:26" x14ac:dyDescent="0.2">
      <c r="A258" s="8">
        <v>71</v>
      </c>
      <c r="B258" s="9">
        <v>2996</v>
      </c>
      <c r="C258" s="9">
        <v>3</v>
      </c>
      <c r="D258" s="9">
        <v>2</v>
      </c>
      <c r="E258" s="9">
        <v>1</v>
      </c>
      <c r="F258" s="9">
        <v>1</v>
      </c>
      <c r="G258" t="s">
        <v>250</v>
      </c>
      <c r="H258" s="9">
        <v>9</v>
      </c>
      <c r="I258" s="9">
        <v>30</v>
      </c>
      <c r="J258" s="9">
        <v>131</v>
      </c>
      <c r="K258" s="10">
        <v>30</v>
      </c>
      <c r="L258" s="10">
        <v>6.8702290076335801</v>
      </c>
      <c r="M258" s="10">
        <v>0.66329753632343602</v>
      </c>
      <c r="N258" s="1">
        <v>2.6436140515177999E-6</v>
      </c>
      <c r="O258" s="10">
        <v>5.5778019484037999</v>
      </c>
      <c r="P258" s="14">
        <v>10.3576881134133</v>
      </c>
      <c r="Q258" s="11">
        <v>47.0871265260377</v>
      </c>
      <c r="R258" s="10">
        <v>8.56</v>
      </c>
      <c r="S258" s="10">
        <v>22.75</v>
      </c>
      <c r="T258" s="10">
        <v>1.48</v>
      </c>
      <c r="V258" s="9">
        <f t="shared" si="12"/>
        <v>122</v>
      </c>
      <c r="W258" s="9">
        <f t="shared" si="13"/>
        <v>252</v>
      </c>
      <c r="X258">
        <f t="shared" si="14"/>
        <v>9</v>
      </c>
      <c r="Y258">
        <f t="shared" si="15"/>
        <v>0</v>
      </c>
      <c r="Z258">
        <v>257</v>
      </c>
    </row>
    <row r="259" spans="1:26" x14ac:dyDescent="0.2">
      <c r="A259" s="8">
        <v>71</v>
      </c>
      <c r="B259" s="9">
        <v>2996</v>
      </c>
      <c r="C259" s="9">
        <v>3</v>
      </c>
      <c r="D259" s="9">
        <v>2</v>
      </c>
      <c r="E259" s="9">
        <v>2</v>
      </c>
      <c r="F259" s="9">
        <v>2</v>
      </c>
      <c r="G259" t="s">
        <v>251</v>
      </c>
      <c r="H259" s="9">
        <v>4</v>
      </c>
      <c r="I259" s="9">
        <v>12</v>
      </c>
      <c r="J259" s="9">
        <v>29</v>
      </c>
      <c r="K259" s="10">
        <v>33.3333333333333</v>
      </c>
      <c r="L259" s="10">
        <v>13.793103448275801</v>
      </c>
      <c r="M259" s="10">
        <v>0.24479804161566701</v>
      </c>
      <c r="N259" s="1">
        <v>4.5569848665830302E-6</v>
      </c>
      <c r="O259" s="10">
        <v>5.3413224136756998</v>
      </c>
      <c r="P259" s="14">
        <v>56.344827586206897</v>
      </c>
      <c r="Q259" s="11">
        <v>110.53476176095801</v>
      </c>
      <c r="R259" s="10">
        <v>3.9</v>
      </c>
      <c r="S259" s="10">
        <v>22.75</v>
      </c>
      <c r="T259" s="10">
        <v>1.48</v>
      </c>
      <c r="V259" s="9">
        <f t="shared" ref="V259:V322" si="16">IF(B259&lt;&gt;B258,V258+1,V258)</f>
        <v>122</v>
      </c>
      <c r="W259" s="9">
        <f t="shared" ref="W259:W322" si="17">IF(F259&lt;&gt;F258,W258+1,W258)</f>
        <v>253</v>
      </c>
      <c r="X259">
        <f t="shared" si="14"/>
        <v>9</v>
      </c>
      <c r="Y259">
        <f t="shared" si="15"/>
        <v>0</v>
      </c>
      <c r="Z259">
        <v>258</v>
      </c>
    </row>
    <row r="260" spans="1:26" x14ac:dyDescent="0.2">
      <c r="A260" s="8">
        <v>71</v>
      </c>
      <c r="B260" s="9">
        <v>2996</v>
      </c>
      <c r="C260" s="9">
        <v>3</v>
      </c>
      <c r="D260" s="9">
        <v>2</v>
      </c>
      <c r="E260" s="9">
        <v>2</v>
      </c>
      <c r="F260" s="9">
        <v>2</v>
      </c>
      <c r="G260" t="s">
        <v>252</v>
      </c>
      <c r="H260" s="9">
        <v>5</v>
      </c>
      <c r="I260" s="9">
        <v>116</v>
      </c>
      <c r="J260" s="9">
        <v>29</v>
      </c>
      <c r="K260" s="10">
        <v>4.3103448275862002</v>
      </c>
      <c r="L260" s="10">
        <v>17.241379310344801</v>
      </c>
      <c r="M260" s="10">
        <v>3.3965728274173803</v>
      </c>
      <c r="N260" s="1">
        <v>5.9677787184155701E-3</v>
      </c>
      <c r="O260" s="10">
        <v>2.2241872886105698</v>
      </c>
      <c r="P260" s="14">
        <v>5.0761105933519701</v>
      </c>
      <c r="Q260" s="11">
        <v>12.408902602083501</v>
      </c>
      <c r="R260" s="10">
        <v>4.72</v>
      </c>
      <c r="S260" s="10">
        <v>22.75</v>
      </c>
      <c r="T260" s="10">
        <v>1.48</v>
      </c>
      <c r="V260" s="9">
        <f t="shared" si="16"/>
        <v>122</v>
      </c>
      <c r="W260" s="9">
        <f t="shared" si="17"/>
        <v>253</v>
      </c>
      <c r="X260">
        <f t="shared" ref="X260:X323" si="18">IF(AND(B260&lt;&gt;B259,D259&gt;2),X259+1,X259)</f>
        <v>9</v>
      </c>
      <c r="Y260">
        <f t="shared" ref="Y260:Y323" si="19">IF(AND(B260&lt;&gt;B259,D259&gt;3),Y259+1,Y259)</f>
        <v>0</v>
      </c>
      <c r="Z260">
        <v>259</v>
      </c>
    </row>
    <row r="261" spans="1:26" x14ac:dyDescent="0.2">
      <c r="A261" s="8">
        <v>72</v>
      </c>
      <c r="B261" s="9">
        <v>761</v>
      </c>
      <c r="C261" s="9">
        <v>2</v>
      </c>
      <c r="D261" s="9">
        <v>2</v>
      </c>
      <c r="E261" s="9">
        <v>1</v>
      </c>
      <c r="F261" s="9">
        <v>1</v>
      </c>
      <c r="G261" t="s">
        <v>253</v>
      </c>
      <c r="H261" s="9">
        <v>4</v>
      </c>
      <c r="I261" s="9">
        <v>4</v>
      </c>
      <c r="J261" s="9">
        <v>118</v>
      </c>
      <c r="K261" s="10">
        <v>100</v>
      </c>
      <c r="L261" s="10">
        <v>3.3898305084745699</v>
      </c>
      <c r="M261" s="10">
        <v>0</v>
      </c>
      <c r="N261" s="1">
        <v>3.1229751634450999E-6</v>
      </c>
      <c r="O261" s="10">
        <v>5.50543146963519</v>
      </c>
      <c r="P261" s="14" t="s">
        <v>254</v>
      </c>
      <c r="Q261" s="11">
        <v>81.732305789768702</v>
      </c>
      <c r="R261" s="10">
        <v>2.25</v>
      </c>
      <c r="S261" s="10">
        <v>23.81</v>
      </c>
      <c r="T261" s="10">
        <v>1.55</v>
      </c>
      <c r="V261" s="9">
        <f t="shared" si="16"/>
        <v>123</v>
      </c>
      <c r="W261" s="9">
        <f t="shared" si="17"/>
        <v>254</v>
      </c>
      <c r="X261">
        <f t="shared" si="18"/>
        <v>9</v>
      </c>
      <c r="Y261">
        <f t="shared" si="19"/>
        <v>0</v>
      </c>
      <c r="Z261">
        <v>260</v>
      </c>
    </row>
    <row r="262" spans="1:26" x14ac:dyDescent="0.2">
      <c r="A262" s="8">
        <v>72</v>
      </c>
      <c r="B262" s="9">
        <v>761</v>
      </c>
      <c r="C262" s="9">
        <v>2</v>
      </c>
      <c r="D262" s="9">
        <v>2</v>
      </c>
      <c r="E262" s="9">
        <v>1</v>
      </c>
      <c r="F262" s="9">
        <v>2</v>
      </c>
      <c r="G262" t="s">
        <v>252</v>
      </c>
      <c r="H262" s="9">
        <v>4</v>
      </c>
      <c r="I262" s="9">
        <v>116</v>
      </c>
      <c r="J262" s="9">
        <v>4</v>
      </c>
      <c r="K262" s="10">
        <v>3.44827586206896</v>
      </c>
      <c r="L262" s="10">
        <v>100</v>
      </c>
      <c r="M262" s="10">
        <v>3.4011539629517098</v>
      </c>
      <c r="N262" s="1">
        <v>2.9139624841011E-6</v>
      </c>
      <c r="O262" s="10">
        <v>5.5355160438675899</v>
      </c>
      <c r="P262" s="14">
        <v>29.401785714285701</v>
      </c>
      <c r="Q262" s="11">
        <v>83.209373019161006</v>
      </c>
      <c r="R262" s="10">
        <v>4.72</v>
      </c>
      <c r="S262" s="10">
        <v>23.81</v>
      </c>
      <c r="T262" s="10">
        <v>1.55</v>
      </c>
      <c r="V262" s="9">
        <f t="shared" si="16"/>
        <v>123</v>
      </c>
      <c r="W262" s="9">
        <f t="shared" si="17"/>
        <v>255</v>
      </c>
      <c r="X262">
        <f t="shared" si="18"/>
        <v>9</v>
      </c>
      <c r="Y262">
        <f t="shared" si="19"/>
        <v>0</v>
      </c>
      <c r="Z262">
        <v>261</v>
      </c>
    </row>
    <row r="263" spans="1:26" x14ac:dyDescent="0.2">
      <c r="A263" s="8">
        <v>72</v>
      </c>
      <c r="B263" s="9">
        <v>1513</v>
      </c>
      <c r="C263" s="9">
        <v>2</v>
      </c>
      <c r="D263" s="9">
        <v>2</v>
      </c>
      <c r="E263" s="9">
        <v>1</v>
      </c>
      <c r="F263" s="9">
        <v>1</v>
      </c>
      <c r="G263" t="s">
        <v>255</v>
      </c>
      <c r="H263" s="9">
        <v>7</v>
      </c>
      <c r="I263" s="9">
        <v>44</v>
      </c>
      <c r="J263" s="9">
        <v>42</v>
      </c>
      <c r="K263" s="10">
        <v>15.909090909090901</v>
      </c>
      <c r="L263" s="10">
        <v>16.6666666666666</v>
      </c>
      <c r="M263" s="10">
        <v>1.1367127496159699</v>
      </c>
      <c r="N263" s="1">
        <v>1.7508418490421301E-6</v>
      </c>
      <c r="O263" s="10">
        <v>5.7567530813239101</v>
      </c>
      <c r="P263" s="14">
        <v>14.662162162162099</v>
      </c>
      <c r="Q263" s="11">
        <v>64.612745380307601</v>
      </c>
      <c r="R263" s="10">
        <v>19.25</v>
      </c>
      <c r="S263" s="10">
        <v>24.58</v>
      </c>
      <c r="T263" s="10">
        <v>1.6</v>
      </c>
      <c r="V263" s="9">
        <f t="shared" si="16"/>
        <v>124</v>
      </c>
      <c r="W263" s="9">
        <f t="shared" si="17"/>
        <v>256</v>
      </c>
      <c r="X263">
        <f t="shared" si="18"/>
        <v>9</v>
      </c>
      <c r="Y263">
        <f t="shared" si="19"/>
        <v>0</v>
      </c>
      <c r="Z263">
        <v>262</v>
      </c>
    </row>
    <row r="264" spans="1:26" x14ac:dyDescent="0.2">
      <c r="A264" s="8">
        <v>72</v>
      </c>
      <c r="B264" s="9">
        <v>1513</v>
      </c>
      <c r="C264" s="9">
        <v>2</v>
      </c>
      <c r="D264" s="9">
        <v>2</v>
      </c>
      <c r="E264" s="9">
        <v>1</v>
      </c>
      <c r="F264" s="9">
        <v>2</v>
      </c>
      <c r="G264" t="s">
        <v>256</v>
      </c>
      <c r="H264" s="9">
        <v>7</v>
      </c>
      <c r="I264" s="9">
        <v>43</v>
      </c>
      <c r="J264" s="9">
        <v>44</v>
      </c>
      <c r="K264" s="10">
        <v>16.279069767441801</v>
      </c>
      <c r="L264" s="10">
        <v>15.909090909090901</v>
      </c>
      <c r="M264" s="10">
        <v>1.1066707654472701</v>
      </c>
      <c r="N264" s="1">
        <v>2.0706279513949702E-6</v>
      </c>
      <c r="O264" s="10">
        <v>5.6838979277465498</v>
      </c>
      <c r="P264" s="14">
        <v>14.375631313131301</v>
      </c>
      <c r="Q264" s="11">
        <v>62.846144789481897</v>
      </c>
      <c r="R264" s="10">
        <v>1.01</v>
      </c>
      <c r="S264" s="10">
        <v>24.58</v>
      </c>
      <c r="T264" s="10">
        <v>1.6</v>
      </c>
      <c r="V264" s="9">
        <f t="shared" si="16"/>
        <v>124</v>
      </c>
      <c r="W264" s="9">
        <f t="shared" si="17"/>
        <v>257</v>
      </c>
      <c r="X264">
        <f t="shared" si="18"/>
        <v>9</v>
      </c>
      <c r="Y264">
        <f t="shared" si="19"/>
        <v>0</v>
      </c>
      <c r="Z264">
        <v>263</v>
      </c>
    </row>
    <row r="265" spans="1:26" x14ac:dyDescent="0.2">
      <c r="A265" s="8">
        <v>73</v>
      </c>
      <c r="B265" s="9">
        <v>579</v>
      </c>
      <c r="C265" s="9">
        <v>2</v>
      </c>
      <c r="D265" s="9">
        <v>2</v>
      </c>
      <c r="E265" s="9">
        <v>1</v>
      </c>
      <c r="F265" s="9">
        <v>1</v>
      </c>
      <c r="G265" t="s">
        <v>257</v>
      </c>
      <c r="H265" s="9">
        <v>8</v>
      </c>
      <c r="I265" s="9">
        <v>24</v>
      </c>
      <c r="J265" s="9">
        <v>122</v>
      </c>
      <c r="K265" s="10">
        <v>33.3333333333333</v>
      </c>
      <c r="L265" s="10">
        <v>6.55737704918032</v>
      </c>
      <c r="M265" s="10">
        <v>0.50393700787401507</v>
      </c>
      <c r="N265" s="1">
        <v>2.50151237685478E-6</v>
      </c>
      <c r="O265" s="10">
        <v>5.6017973439952602</v>
      </c>
      <c r="P265" s="14">
        <v>13.012295081967199</v>
      </c>
      <c r="Q265" s="11">
        <v>51.4933569265066</v>
      </c>
      <c r="R265" s="10">
        <v>5.3</v>
      </c>
      <c r="S265" s="10">
        <v>24.64</v>
      </c>
      <c r="T265" s="10">
        <v>1.6</v>
      </c>
      <c r="V265" s="9">
        <f t="shared" si="16"/>
        <v>125</v>
      </c>
      <c r="W265" s="9">
        <f t="shared" si="17"/>
        <v>258</v>
      </c>
      <c r="X265">
        <f t="shared" si="18"/>
        <v>9</v>
      </c>
      <c r="Y265">
        <f t="shared" si="19"/>
        <v>0</v>
      </c>
      <c r="Z265">
        <v>264</v>
      </c>
    </row>
    <row r="266" spans="1:26" x14ac:dyDescent="0.2">
      <c r="A266" s="8">
        <v>73</v>
      </c>
      <c r="B266" s="9">
        <v>579</v>
      </c>
      <c r="C266" s="9">
        <v>2</v>
      </c>
      <c r="D266" s="9">
        <v>2</v>
      </c>
      <c r="E266" s="9">
        <v>1</v>
      </c>
      <c r="F266" s="9">
        <v>2</v>
      </c>
      <c r="G266" t="s">
        <v>258</v>
      </c>
      <c r="H266" s="9">
        <v>8</v>
      </c>
      <c r="I266" s="9">
        <v>119</v>
      </c>
      <c r="J266" s="9">
        <v>23</v>
      </c>
      <c r="K266" s="10">
        <v>6.7226890756302504</v>
      </c>
      <c r="L266" s="10">
        <v>34.782608695652101</v>
      </c>
      <c r="M266" s="10">
        <v>3.3903481979230299</v>
      </c>
      <c r="N266" s="1">
        <v>1.41897189195765E-6</v>
      </c>
      <c r="O266" s="10">
        <v>5.8480262072829001</v>
      </c>
      <c r="P266" s="14">
        <v>10.2593027810419</v>
      </c>
      <c r="Q266" s="11">
        <v>55.986302958981199</v>
      </c>
      <c r="R266" s="10">
        <v>12.54</v>
      </c>
      <c r="S266" s="10">
        <v>24.64</v>
      </c>
      <c r="T266" s="10">
        <v>1.6</v>
      </c>
      <c r="V266" s="9">
        <f t="shared" si="16"/>
        <v>125</v>
      </c>
      <c r="W266" s="9">
        <f t="shared" si="17"/>
        <v>259</v>
      </c>
      <c r="X266">
        <f t="shared" si="18"/>
        <v>9</v>
      </c>
      <c r="Y266">
        <f t="shared" si="19"/>
        <v>0</v>
      </c>
      <c r="Z266">
        <v>265</v>
      </c>
    </row>
    <row r="267" spans="1:26" x14ac:dyDescent="0.2">
      <c r="A267" s="8">
        <v>74</v>
      </c>
      <c r="B267" s="9">
        <v>250</v>
      </c>
      <c r="C267" s="9">
        <v>2</v>
      </c>
      <c r="D267" s="9">
        <v>2</v>
      </c>
      <c r="E267" s="9">
        <v>1</v>
      </c>
      <c r="F267" s="9">
        <v>1</v>
      </c>
      <c r="G267" t="s">
        <v>11</v>
      </c>
      <c r="H267" s="9">
        <v>4</v>
      </c>
      <c r="I267" s="9">
        <v>81</v>
      </c>
      <c r="J267" s="9">
        <v>6</v>
      </c>
      <c r="K267" s="10">
        <v>4.9382716049382696</v>
      </c>
      <c r="L267" s="10">
        <v>66.6666666666666</v>
      </c>
      <c r="M267" s="10">
        <v>2.33971437253114</v>
      </c>
      <c r="N267" s="1">
        <v>9.7799190620833608E-6</v>
      </c>
      <c r="O267" s="10">
        <v>5.0096647393878602</v>
      </c>
      <c r="P267" s="14">
        <v>28.493506493506398</v>
      </c>
      <c r="Q267" s="11">
        <v>78.313816054428102</v>
      </c>
      <c r="R267" s="10">
        <v>3.93</v>
      </c>
      <c r="S267" s="10">
        <v>22.19</v>
      </c>
      <c r="T267" s="10">
        <v>1.45</v>
      </c>
      <c r="V267" s="9">
        <f t="shared" si="16"/>
        <v>126</v>
      </c>
      <c r="W267" s="9">
        <f t="shared" si="17"/>
        <v>260</v>
      </c>
      <c r="X267">
        <f t="shared" si="18"/>
        <v>9</v>
      </c>
      <c r="Y267">
        <f t="shared" si="19"/>
        <v>0</v>
      </c>
      <c r="Z267">
        <v>266</v>
      </c>
    </row>
    <row r="268" spans="1:26" x14ac:dyDescent="0.2">
      <c r="A268" s="8">
        <v>74</v>
      </c>
      <c r="B268" s="9">
        <v>250</v>
      </c>
      <c r="C268" s="9">
        <v>2</v>
      </c>
      <c r="D268" s="9">
        <v>2</v>
      </c>
      <c r="E268" s="9">
        <v>1</v>
      </c>
      <c r="F268" s="9">
        <v>2</v>
      </c>
      <c r="G268" t="s">
        <v>259</v>
      </c>
      <c r="H268" s="9">
        <v>4</v>
      </c>
      <c r="I268" s="9">
        <v>6</v>
      </c>
      <c r="J268" s="9">
        <v>81</v>
      </c>
      <c r="K268" s="10">
        <v>66.6666666666666</v>
      </c>
      <c r="L268" s="10">
        <v>4.9382716049382696</v>
      </c>
      <c r="M268" s="10">
        <v>6.2189054726368105E-2</v>
      </c>
      <c r="N268" s="1">
        <v>9.7799190620833794E-6</v>
      </c>
      <c r="O268" s="10">
        <v>5.0096647393878602</v>
      </c>
      <c r="P268" s="14">
        <v>79.407407407407405</v>
      </c>
      <c r="Q268" s="11">
        <v>78.313816054428102</v>
      </c>
      <c r="R268" s="10">
        <v>2.33</v>
      </c>
      <c r="S268" s="10">
        <v>22.19</v>
      </c>
      <c r="T268" s="10">
        <v>1.45</v>
      </c>
      <c r="V268" s="9">
        <f t="shared" si="16"/>
        <v>126</v>
      </c>
      <c r="W268" s="9">
        <f t="shared" si="17"/>
        <v>261</v>
      </c>
      <c r="X268">
        <f t="shared" si="18"/>
        <v>9</v>
      </c>
      <c r="Y268">
        <f t="shared" si="19"/>
        <v>0</v>
      </c>
      <c r="Z268">
        <v>267</v>
      </c>
    </row>
    <row r="269" spans="1:26" x14ac:dyDescent="0.2">
      <c r="A269" s="8">
        <v>75</v>
      </c>
      <c r="B269" s="9">
        <v>348</v>
      </c>
      <c r="C269" s="9">
        <v>2</v>
      </c>
      <c r="D269" s="9">
        <v>2</v>
      </c>
      <c r="E269" s="9">
        <v>1</v>
      </c>
      <c r="F269" s="9">
        <v>1</v>
      </c>
      <c r="G269" t="s">
        <v>260</v>
      </c>
      <c r="H269" s="9">
        <v>5</v>
      </c>
      <c r="I269" s="9">
        <v>77</v>
      </c>
      <c r="J269" s="9">
        <v>8</v>
      </c>
      <c r="K269" s="10">
        <v>6.4935064935064899</v>
      </c>
      <c r="L269" s="10">
        <v>62.5</v>
      </c>
      <c r="M269" s="10">
        <v>2.1891152325934899</v>
      </c>
      <c r="N269" s="1">
        <v>6.4699725623965305E-7</v>
      </c>
      <c r="O269" s="10">
        <v>6.1890975610662302</v>
      </c>
      <c r="P269" s="14">
        <v>28.5503472222222</v>
      </c>
      <c r="Q269" s="11">
        <v>102.199371063879</v>
      </c>
      <c r="R269" s="10">
        <v>0.46</v>
      </c>
      <c r="S269" s="10">
        <v>21.67</v>
      </c>
      <c r="T269" s="10">
        <v>1.41</v>
      </c>
      <c r="V269" s="9">
        <f t="shared" si="16"/>
        <v>127</v>
      </c>
      <c r="W269" s="9">
        <f t="shared" si="17"/>
        <v>262</v>
      </c>
      <c r="X269">
        <f t="shared" si="18"/>
        <v>9</v>
      </c>
      <c r="Y269">
        <f t="shared" si="19"/>
        <v>0</v>
      </c>
      <c r="Z269">
        <v>268</v>
      </c>
    </row>
    <row r="270" spans="1:26" x14ac:dyDescent="0.2">
      <c r="A270" s="8">
        <v>75</v>
      </c>
      <c r="B270" s="9">
        <v>348</v>
      </c>
      <c r="C270" s="9">
        <v>2</v>
      </c>
      <c r="D270" s="9">
        <v>2</v>
      </c>
      <c r="E270" s="9">
        <v>1</v>
      </c>
      <c r="F270" s="9">
        <v>2</v>
      </c>
      <c r="G270" t="s">
        <v>261</v>
      </c>
      <c r="H270" s="9">
        <v>5</v>
      </c>
      <c r="I270" s="9">
        <v>8</v>
      </c>
      <c r="J270" s="9">
        <v>76</v>
      </c>
      <c r="K270" s="10">
        <v>62.5</v>
      </c>
      <c r="L270" s="10">
        <v>6.5789473684210495</v>
      </c>
      <c r="M270" s="10">
        <v>9.3138776777398305E-2</v>
      </c>
      <c r="N270" s="1">
        <v>6.0545215235741099E-7</v>
      </c>
      <c r="O270" s="10">
        <v>6.2179201725675401</v>
      </c>
      <c r="P270" s="14">
        <v>70.635964912280699</v>
      </c>
      <c r="Q270" s="11">
        <v>103.628450871382</v>
      </c>
      <c r="R270" s="10">
        <v>0.42</v>
      </c>
      <c r="S270" s="10">
        <v>21.67</v>
      </c>
      <c r="T270" s="10">
        <v>1.41</v>
      </c>
      <c r="V270" s="9">
        <f t="shared" si="16"/>
        <v>127</v>
      </c>
      <c r="W270" s="9">
        <f t="shared" si="17"/>
        <v>263</v>
      </c>
      <c r="X270">
        <f t="shared" si="18"/>
        <v>9</v>
      </c>
      <c r="Y270">
        <f t="shared" si="19"/>
        <v>0</v>
      </c>
      <c r="Z270">
        <v>269</v>
      </c>
    </row>
    <row r="271" spans="1:26" x14ac:dyDescent="0.2">
      <c r="A271" s="8">
        <v>78</v>
      </c>
      <c r="B271" s="9">
        <v>17</v>
      </c>
      <c r="C271" s="9">
        <v>2</v>
      </c>
      <c r="D271" s="9">
        <v>2</v>
      </c>
      <c r="E271" s="9">
        <v>1</v>
      </c>
      <c r="F271" s="9">
        <v>1</v>
      </c>
      <c r="G271" t="s">
        <v>262</v>
      </c>
      <c r="H271" s="9">
        <v>4</v>
      </c>
      <c r="I271" s="9">
        <v>14</v>
      </c>
      <c r="J271" s="9">
        <v>29</v>
      </c>
      <c r="K271" s="10">
        <v>28.571428571428498</v>
      </c>
      <c r="L271" s="10">
        <v>13.793103448275801</v>
      </c>
      <c r="M271" s="10">
        <v>0.30599755201958301</v>
      </c>
      <c r="N271" s="1">
        <v>9.1036423812566398E-6</v>
      </c>
      <c r="O271" s="10">
        <v>5.0407848110212097</v>
      </c>
      <c r="P271" s="14">
        <v>45.075862068965499</v>
      </c>
      <c r="Q271" s="11">
        <v>93.821724200138405</v>
      </c>
      <c r="R271" s="10">
        <v>2.04</v>
      </c>
      <c r="S271" s="10">
        <v>25.36</v>
      </c>
      <c r="T271" s="10">
        <v>1.65</v>
      </c>
      <c r="V271" s="9">
        <f t="shared" si="16"/>
        <v>128</v>
      </c>
      <c r="W271" s="9">
        <f t="shared" si="17"/>
        <v>264</v>
      </c>
      <c r="X271">
        <f t="shared" si="18"/>
        <v>9</v>
      </c>
      <c r="Y271">
        <f t="shared" si="19"/>
        <v>0</v>
      </c>
      <c r="Z271">
        <v>270</v>
      </c>
    </row>
    <row r="272" spans="1:26" x14ac:dyDescent="0.2">
      <c r="A272" s="8">
        <v>78</v>
      </c>
      <c r="B272" s="9">
        <v>17</v>
      </c>
      <c r="C272" s="9">
        <v>2</v>
      </c>
      <c r="D272" s="9">
        <v>2</v>
      </c>
      <c r="E272" s="9">
        <v>1</v>
      </c>
      <c r="F272" s="9">
        <v>2</v>
      </c>
      <c r="G272" t="s">
        <v>263</v>
      </c>
      <c r="H272" s="9">
        <v>4</v>
      </c>
      <c r="I272" s="9">
        <v>29</v>
      </c>
      <c r="J272" s="9">
        <v>14</v>
      </c>
      <c r="K272" s="10">
        <v>13.793103448275801</v>
      </c>
      <c r="L272" s="10">
        <v>28.571428571428498</v>
      </c>
      <c r="M272" s="10">
        <v>0.76149862930246703</v>
      </c>
      <c r="N272" s="1">
        <v>9.10364238125665E-6</v>
      </c>
      <c r="O272" s="10">
        <v>5.0407848110212097</v>
      </c>
      <c r="P272" s="14">
        <v>37.519999999999897</v>
      </c>
      <c r="Q272" s="11">
        <v>93.821724200138405</v>
      </c>
      <c r="R272" s="10">
        <v>0.5</v>
      </c>
      <c r="S272" s="10">
        <v>25.36</v>
      </c>
      <c r="T272" s="10">
        <v>1.65</v>
      </c>
      <c r="V272" s="9">
        <f t="shared" si="16"/>
        <v>128</v>
      </c>
      <c r="W272" s="9">
        <f t="shared" si="17"/>
        <v>265</v>
      </c>
      <c r="X272">
        <f t="shared" si="18"/>
        <v>9</v>
      </c>
      <c r="Y272">
        <f t="shared" si="19"/>
        <v>0</v>
      </c>
      <c r="Z272">
        <v>271</v>
      </c>
    </row>
    <row r="273" spans="1:26" x14ac:dyDescent="0.2">
      <c r="A273" s="8">
        <v>78</v>
      </c>
      <c r="B273" s="9">
        <v>238</v>
      </c>
      <c r="C273" s="9">
        <v>2</v>
      </c>
      <c r="D273" s="9">
        <v>2</v>
      </c>
      <c r="E273" s="9">
        <v>1</v>
      </c>
      <c r="F273" s="9">
        <v>1</v>
      </c>
      <c r="G273" t="s">
        <v>264</v>
      </c>
      <c r="H273" s="9">
        <v>4</v>
      </c>
      <c r="I273" s="9">
        <v>4</v>
      </c>
      <c r="J273" s="9">
        <v>51</v>
      </c>
      <c r="K273" s="10">
        <v>100</v>
      </c>
      <c r="L273" s="10">
        <v>7.8431372549019605</v>
      </c>
      <c r="M273" s="10">
        <v>0</v>
      </c>
      <c r="N273" s="1">
        <v>1.01700322374006E-7</v>
      </c>
      <c r="O273" s="10">
        <v>6.9926776704299503</v>
      </c>
      <c r="P273" s="14" t="s">
        <v>265</v>
      </c>
      <c r="Q273" s="11">
        <v>194.28080578901299</v>
      </c>
      <c r="R273" s="10">
        <v>18.989999999999998</v>
      </c>
      <c r="S273" s="10">
        <v>23.29</v>
      </c>
      <c r="T273" s="10">
        <v>1.52</v>
      </c>
      <c r="V273" s="9">
        <f t="shared" si="16"/>
        <v>129</v>
      </c>
      <c r="W273" s="9">
        <f t="shared" si="17"/>
        <v>266</v>
      </c>
      <c r="X273">
        <f t="shared" si="18"/>
        <v>9</v>
      </c>
      <c r="Y273">
        <f t="shared" si="19"/>
        <v>0</v>
      </c>
      <c r="Z273">
        <v>272</v>
      </c>
    </row>
    <row r="274" spans="1:26" x14ac:dyDescent="0.2">
      <c r="A274" s="8">
        <v>78</v>
      </c>
      <c r="B274" s="9">
        <v>238</v>
      </c>
      <c r="C274" s="9">
        <v>2</v>
      </c>
      <c r="D274" s="9">
        <v>2</v>
      </c>
      <c r="E274" s="9">
        <v>1</v>
      </c>
      <c r="F274" s="9">
        <v>2</v>
      </c>
      <c r="G274" t="s">
        <v>220</v>
      </c>
      <c r="H274" s="9">
        <v>4</v>
      </c>
      <c r="I274" s="9">
        <v>51</v>
      </c>
      <c r="J274" s="9">
        <v>4</v>
      </c>
      <c r="K274" s="10">
        <v>7.8431372549019605</v>
      </c>
      <c r="L274" s="10">
        <v>100</v>
      </c>
      <c r="M274" s="10">
        <v>1.4272699665958</v>
      </c>
      <c r="N274" s="1">
        <v>1.01700322374006E-7</v>
      </c>
      <c r="O274" s="10">
        <v>6.9926776704299503</v>
      </c>
      <c r="P274" s="14">
        <v>70.063829787233999</v>
      </c>
      <c r="Q274" s="11">
        <v>194.28080578901299</v>
      </c>
      <c r="R274" s="10">
        <v>999</v>
      </c>
      <c r="S274" s="10">
        <v>23.29</v>
      </c>
      <c r="T274" s="10">
        <v>1.52</v>
      </c>
      <c r="V274" s="9">
        <f t="shared" si="16"/>
        <v>129</v>
      </c>
      <c r="W274" s="9">
        <f t="shared" si="17"/>
        <v>267</v>
      </c>
      <c r="X274">
        <f t="shared" si="18"/>
        <v>9</v>
      </c>
      <c r="Y274">
        <f t="shared" si="19"/>
        <v>0</v>
      </c>
      <c r="Z274">
        <v>273</v>
      </c>
    </row>
    <row r="275" spans="1:26" x14ac:dyDescent="0.2">
      <c r="A275" s="8">
        <v>78</v>
      </c>
      <c r="B275" s="9">
        <v>251</v>
      </c>
      <c r="C275" s="9">
        <v>2</v>
      </c>
      <c r="D275" s="9">
        <v>2</v>
      </c>
      <c r="E275" s="9">
        <v>1</v>
      </c>
      <c r="F275" s="9">
        <v>1</v>
      </c>
      <c r="G275" t="s">
        <v>266</v>
      </c>
      <c r="H275" s="9">
        <v>4</v>
      </c>
      <c r="I275" s="9">
        <v>7</v>
      </c>
      <c r="J275" s="9">
        <v>53</v>
      </c>
      <c r="K275" s="10">
        <v>57.142857142857096</v>
      </c>
      <c r="L275" s="10">
        <v>7.5471698113207504</v>
      </c>
      <c r="M275" s="10">
        <v>9.2478421701602892E-2</v>
      </c>
      <c r="N275" s="1">
        <v>4.0237739011931197E-6</v>
      </c>
      <c r="O275" s="10">
        <v>5.3953664305920102</v>
      </c>
      <c r="P275" s="14">
        <v>81.610062893081704</v>
      </c>
      <c r="Q275" s="11">
        <v>103.86231325806099</v>
      </c>
      <c r="R275" s="10">
        <v>1.1299999999999999</v>
      </c>
      <c r="S275" s="10">
        <v>20.93</v>
      </c>
      <c r="T275" s="10">
        <v>1.36</v>
      </c>
      <c r="V275" s="9">
        <f t="shared" si="16"/>
        <v>130</v>
      </c>
      <c r="W275" s="9">
        <f t="shared" si="17"/>
        <v>268</v>
      </c>
      <c r="X275">
        <f t="shared" si="18"/>
        <v>9</v>
      </c>
      <c r="Y275">
        <f t="shared" si="19"/>
        <v>0</v>
      </c>
      <c r="Z275">
        <v>274</v>
      </c>
    </row>
    <row r="276" spans="1:26" x14ac:dyDescent="0.2">
      <c r="A276" s="8">
        <v>78</v>
      </c>
      <c r="B276" s="9">
        <v>251</v>
      </c>
      <c r="C276" s="9">
        <v>2</v>
      </c>
      <c r="D276" s="9">
        <v>2</v>
      </c>
      <c r="E276" s="9">
        <v>1</v>
      </c>
      <c r="F276" s="9">
        <v>2</v>
      </c>
      <c r="G276" t="s">
        <v>267</v>
      </c>
      <c r="H276" s="9">
        <v>4</v>
      </c>
      <c r="I276" s="9">
        <v>54</v>
      </c>
      <c r="J276" s="9">
        <v>7</v>
      </c>
      <c r="K276" s="10">
        <v>7.4074074074074003</v>
      </c>
      <c r="L276" s="10">
        <v>57.142857142857096</v>
      </c>
      <c r="M276" s="10">
        <v>1.5197568389057701</v>
      </c>
      <c r="N276" s="1">
        <v>4.3424737132885496E-6</v>
      </c>
      <c r="O276" s="10">
        <v>5.36226280182923</v>
      </c>
      <c r="P276" s="14">
        <v>37.599999999999902</v>
      </c>
      <c r="Q276" s="11">
        <v>101.842588209629</v>
      </c>
      <c r="R276" s="10" t="s">
        <v>57</v>
      </c>
      <c r="S276" s="10">
        <v>20.93</v>
      </c>
      <c r="T276" s="10">
        <v>1.36</v>
      </c>
      <c r="V276" s="9">
        <f t="shared" si="16"/>
        <v>130</v>
      </c>
      <c r="W276" s="9">
        <f t="shared" si="17"/>
        <v>269</v>
      </c>
      <c r="X276">
        <f t="shared" si="18"/>
        <v>9</v>
      </c>
      <c r="Y276">
        <f t="shared" si="19"/>
        <v>0</v>
      </c>
      <c r="Z276">
        <v>275</v>
      </c>
    </row>
    <row r="277" spans="1:26" x14ac:dyDescent="0.2">
      <c r="A277" s="8">
        <v>79</v>
      </c>
      <c r="B277" s="9">
        <v>1130</v>
      </c>
      <c r="C277" s="9">
        <v>2</v>
      </c>
      <c r="D277" s="9">
        <v>2</v>
      </c>
      <c r="E277" s="9">
        <v>1</v>
      </c>
      <c r="F277" s="9">
        <v>1</v>
      </c>
      <c r="G277" t="s">
        <v>233</v>
      </c>
      <c r="H277" s="9">
        <v>13</v>
      </c>
      <c r="I277" s="9">
        <v>420</v>
      </c>
      <c r="J277" s="9">
        <v>24</v>
      </c>
      <c r="K277" s="10">
        <v>3.09523809523809</v>
      </c>
      <c r="L277" s="10">
        <v>54.166666666666593</v>
      </c>
      <c r="M277" s="10">
        <v>12.4350748548732</v>
      </c>
      <c r="N277" s="1">
        <v>2.5766291283991501E-6</v>
      </c>
      <c r="O277" s="10">
        <v>5.5889480878833</v>
      </c>
      <c r="P277" s="14">
        <v>4.3559582309582296</v>
      </c>
      <c r="Q277" s="11">
        <v>33.666699404522902</v>
      </c>
      <c r="R277" s="10">
        <v>49.06</v>
      </c>
      <c r="S277" s="10">
        <v>21.5</v>
      </c>
      <c r="T277" s="10">
        <v>1.4</v>
      </c>
      <c r="V277" s="9">
        <f t="shared" si="16"/>
        <v>131</v>
      </c>
      <c r="W277" s="9">
        <f t="shared" si="17"/>
        <v>270</v>
      </c>
      <c r="X277">
        <f t="shared" si="18"/>
        <v>9</v>
      </c>
      <c r="Y277">
        <f t="shared" si="19"/>
        <v>0</v>
      </c>
      <c r="Z277">
        <v>276</v>
      </c>
    </row>
    <row r="278" spans="1:26" x14ac:dyDescent="0.2">
      <c r="A278" s="8">
        <v>79</v>
      </c>
      <c r="B278" s="9">
        <v>1130</v>
      </c>
      <c r="C278" s="9">
        <v>2</v>
      </c>
      <c r="D278" s="9">
        <v>2</v>
      </c>
      <c r="E278" s="9">
        <v>1</v>
      </c>
      <c r="F278" s="9">
        <v>2</v>
      </c>
      <c r="G278" t="s">
        <v>268</v>
      </c>
      <c r="H278" s="9">
        <v>13</v>
      </c>
      <c r="I278" s="9">
        <v>24</v>
      </c>
      <c r="J278" s="9">
        <v>429</v>
      </c>
      <c r="K278" s="10">
        <v>54.166666666666593</v>
      </c>
      <c r="L278" s="10">
        <v>3.0303030303030298</v>
      </c>
      <c r="M278" s="10">
        <v>0.383542538354253</v>
      </c>
      <c r="N278" s="1">
        <v>3.30229183582079E-6</v>
      </c>
      <c r="O278" s="10">
        <v>5.4811845491573896</v>
      </c>
      <c r="P278" s="14">
        <v>7.9008264462809903</v>
      </c>
      <c r="Q278" s="11">
        <v>32.606629267979301</v>
      </c>
      <c r="R278" s="10">
        <v>4.87</v>
      </c>
      <c r="S278" s="10">
        <v>21.5</v>
      </c>
      <c r="T278" s="10">
        <v>1.4</v>
      </c>
      <c r="V278" s="9">
        <f t="shared" si="16"/>
        <v>131</v>
      </c>
      <c r="W278" s="9">
        <f t="shared" si="17"/>
        <v>271</v>
      </c>
      <c r="X278">
        <f t="shared" si="18"/>
        <v>9</v>
      </c>
      <c r="Y278">
        <f t="shared" si="19"/>
        <v>0</v>
      </c>
      <c r="Z278">
        <v>277</v>
      </c>
    </row>
    <row r="279" spans="1:26" x14ac:dyDescent="0.2">
      <c r="A279" s="8">
        <v>79</v>
      </c>
      <c r="B279" s="9">
        <v>1469</v>
      </c>
      <c r="C279" s="9">
        <v>2</v>
      </c>
      <c r="D279" s="9">
        <v>2</v>
      </c>
      <c r="E279" s="9">
        <v>1</v>
      </c>
      <c r="F279" s="9">
        <v>1</v>
      </c>
      <c r="G279" t="s">
        <v>269</v>
      </c>
      <c r="H279" s="9">
        <v>5</v>
      </c>
      <c r="I279" s="9">
        <v>14</v>
      </c>
      <c r="J279" s="9">
        <v>62</v>
      </c>
      <c r="K279" s="10">
        <v>35.714285714285701</v>
      </c>
      <c r="L279" s="10">
        <v>8.0645161290322491</v>
      </c>
      <c r="M279" s="10">
        <v>0.27820710973724799</v>
      </c>
      <c r="N279" s="1">
        <v>7.0242298758346896E-6</v>
      </c>
      <c r="O279" s="10">
        <v>5.1534012840932801</v>
      </c>
      <c r="P279" s="14">
        <v>28.987455197132601</v>
      </c>
      <c r="Q279" s="11">
        <v>69.783636700701507</v>
      </c>
      <c r="R279" s="10">
        <v>1.5</v>
      </c>
      <c r="S279" s="10">
        <v>23.72</v>
      </c>
      <c r="T279" s="10">
        <v>1.55</v>
      </c>
      <c r="V279" s="9">
        <f t="shared" si="16"/>
        <v>132</v>
      </c>
      <c r="W279" s="9">
        <f t="shared" si="17"/>
        <v>272</v>
      </c>
      <c r="X279">
        <f t="shared" si="18"/>
        <v>9</v>
      </c>
      <c r="Y279">
        <f t="shared" si="19"/>
        <v>0</v>
      </c>
      <c r="Z279">
        <v>278</v>
      </c>
    </row>
    <row r="280" spans="1:26" x14ac:dyDescent="0.2">
      <c r="A280" s="8">
        <v>79</v>
      </c>
      <c r="B280" s="9">
        <v>1469</v>
      </c>
      <c r="C280" s="9">
        <v>2</v>
      </c>
      <c r="D280" s="9">
        <v>2</v>
      </c>
      <c r="E280" s="9">
        <v>1</v>
      </c>
      <c r="F280" s="9">
        <v>2</v>
      </c>
      <c r="G280" t="s">
        <v>191</v>
      </c>
      <c r="H280" s="9">
        <v>5</v>
      </c>
      <c r="I280" s="9">
        <v>60</v>
      </c>
      <c r="J280" s="9">
        <v>14</v>
      </c>
      <c r="K280" s="10">
        <v>8.3333333333333304</v>
      </c>
      <c r="L280" s="10">
        <v>35.714285714285701</v>
      </c>
      <c r="M280" s="10">
        <v>1.67529698446542</v>
      </c>
      <c r="N280" s="1">
        <v>5.9558358905377102E-6</v>
      </c>
      <c r="O280" s="10">
        <v>5.2250572774772497</v>
      </c>
      <c r="P280" s="14">
        <v>21.318181818181799</v>
      </c>
      <c r="Q280" s="11">
        <v>72.354404904347504</v>
      </c>
      <c r="R280" s="10">
        <v>9.52</v>
      </c>
      <c r="S280" s="10">
        <v>23.72</v>
      </c>
      <c r="T280" s="10">
        <v>1.55</v>
      </c>
      <c r="V280" s="9">
        <f t="shared" si="16"/>
        <v>132</v>
      </c>
      <c r="W280" s="9">
        <f t="shared" si="17"/>
        <v>273</v>
      </c>
      <c r="X280">
        <f t="shared" si="18"/>
        <v>9</v>
      </c>
      <c r="Y280">
        <f t="shared" si="19"/>
        <v>0</v>
      </c>
      <c r="Z280">
        <v>279</v>
      </c>
    </row>
    <row r="281" spans="1:26" x14ac:dyDescent="0.2">
      <c r="A281" s="8">
        <v>80</v>
      </c>
      <c r="B281" s="9">
        <v>861</v>
      </c>
      <c r="C281" s="9">
        <v>2</v>
      </c>
      <c r="D281" s="9">
        <v>2</v>
      </c>
      <c r="E281" s="9">
        <v>1</v>
      </c>
      <c r="F281" s="9">
        <v>1</v>
      </c>
      <c r="G281" t="s">
        <v>270</v>
      </c>
      <c r="H281" s="9">
        <v>4</v>
      </c>
      <c r="I281" s="9">
        <v>8</v>
      </c>
      <c r="J281" s="9">
        <v>42</v>
      </c>
      <c r="K281" s="10">
        <v>50</v>
      </c>
      <c r="L281" s="10">
        <v>9.5238095238095202</v>
      </c>
      <c r="M281" s="10">
        <v>0.122887864823348</v>
      </c>
      <c r="N281" s="1">
        <v>3.07250313645608E-6</v>
      </c>
      <c r="O281" s="10">
        <v>5.5125076651071296</v>
      </c>
      <c r="P281" s="14">
        <v>77.5</v>
      </c>
      <c r="Q281" s="11">
        <v>115.046189920703</v>
      </c>
      <c r="R281" s="10">
        <v>0.64</v>
      </c>
      <c r="S281" s="10">
        <v>21.37</v>
      </c>
      <c r="T281" s="10">
        <v>1.39</v>
      </c>
      <c r="V281" s="9">
        <f t="shared" si="16"/>
        <v>133</v>
      </c>
      <c r="W281" s="9">
        <f t="shared" si="17"/>
        <v>274</v>
      </c>
      <c r="X281">
        <f t="shared" si="18"/>
        <v>9</v>
      </c>
      <c r="Y281">
        <f t="shared" si="19"/>
        <v>0</v>
      </c>
      <c r="Z281">
        <v>280</v>
      </c>
    </row>
    <row r="282" spans="1:26" x14ac:dyDescent="0.2">
      <c r="A282" s="8">
        <v>80</v>
      </c>
      <c r="B282" s="9">
        <v>861</v>
      </c>
      <c r="C282" s="9">
        <v>2</v>
      </c>
      <c r="D282" s="9">
        <v>2</v>
      </c>
      <c r="E282" s="9">
        <v>1</v>
      </c>
      <c r="F282" s="9">
        <v>2</v>
      </c>
      <c r="G282" t="s">
        <v>271</v>
      </c>
      <c r="H282" s="9">
        <v>4</v>
      </c>
      <c r="I282" s="9">
        <v>42</v>
      </c>
      <c r="J282" s="9">
        <v>8</v>
      </c>
      <c r="K282" s="10">
        <v>9.5238095238095202</v>
      </c>
      <c r="L282" s="10">
        <v>50</v>
      </c>
      <c r="M282" s="10">
        <v>1.1553663727576702</v>
      </c>
      <c r="N282" s="1">
        <v>3.0725031364560698E-6</v>
      </c>
      <c r="O282" s="10">
        <v>5.5125076651071296</v>
      </c>
      <c r="P282" s="14">
        <v>43.2763157894736</v>
      </c>
      <c r="Q282" s="11">
        <v>115.046189920703</v>
      </c>
      <c r="R282" s="10">
        <v>1.02</v>
      </c>
      <c r="S282" s="10">
        <v>21.37</v>
      </c>
      <c r="T282" s="10">
        <v>1.39</v>
      </c>
      <c r="V282" s="9">
        <f t="shared" si="16"/>
        <v>133</v>
      </c>
      <c r="W282" s="9">
        <f t="shared" si="17"/>
        <v>275</v>
      </c>
      <c r="X282">
        <f t="shared" si="18"/>
        <v>9</v>
      </c>
      <c r="Y282">
        <f t="shared" si="19"/>
        <v>0</v>
      </c>
      <c r="Z282">
        <v>281</v>
      </c>
    </row>
    <row r="283" spans="1:26" x14ac:dyDescent="0.2">
      <c r="A283" s="8">
        <v>80</v>
      </c>
      <c r="B283" s="9">
        <v>1189</v>
      </c>
      <c r="C283" s="9">
        <v>2</v>
      </c>
      <c r="D283" s="9">
        <v>2</v>
      </c>
      <c r="E283" s="9">
        <v>1</v>
      </c>
      <c r="F283" s="9">
        <v>1</v>
      </c>
      <c r="G283" t="s">
        <v>71</v>
      </c>
      <c r="H283" s="9">
        <v>19</v>
      </c>
      <c r="I283" s="9">
        <v>76</v>
      </c>
      <c r="J283" s="9">
        <v>206</v>
      </c>
      <c r="K283" s="10">
        <v>25</v>
      </c>
      <c r="L283" s="10">
        <v>9.2233009708737796</v>
      </c>
      <c r="M283" s="10">
        <v>1.8440634098997</v>
      </c>
      <c r="N283" s="1">
        <v>1.85839913714363E-7</v>
      </c>
      <c r="O283" s="10">
        <v>6.7308610048510804</v>
      </c>
      <c r="P283" s="14">
        <v>5.00161812297734</v>
      </c>
      <c r="Q283" s="11">
        <v>43.479315654874199</v>
      </c>
      <c r="R283" s="10">
        <v>32.159999999999997</v>
      </c>
      <c r="S283" s="10">
        <v>21.49</v>
      </c>
      <c r="T283" s="10">
        <v>1.4</v>
      </c>
      <c r="V283" s="9">
        <f t="shared" si="16"/>
        <v>134</v>
      </c>
      <c r="W283" s="9">
        <f t="shared" si="17"/>
        <v>276</v>
      </c>
      <c r="X283">
        <f t="shared" si="18"/>
        <v>9</v>
      </c>
      <c r="Y283">
        <f t="shared" si="19"/>
        <v>0</v>
      </c>
      <c r="Z283">
        <v>282</v>
      </c>
    </row>
    <row r="284" spans="1:26" x14ac:dyDescent="0.2">
      <c r="A284" s="8">
        <v>80</v>
      </c>
      <c r="B284" s="9">
        <v>1189</v>
      </c>
      <c r="C284" s="9">
        <v>2</v>
      </c>
      <c r="D284" s="9">
        <v>2</v>
      </c>
      <c r="E284" s="9">
        <v>1</v>
      </c>
      <c r="F284" s="9">
        <v>2</v>
      </c>
      <c r="G284" t="s">
        <v>187</v>
      </c>
      <c r="H284" s="9">
        <v>19</v>
      </c>
      <c r="I284" s="9">
        <v>209</v>
      </c>
      <c r="J284" s="9">
        <v>78</v>
      </c>
      <c r="K284" s="10">
        <v>9.0909090909090899</v>
      </c>
      <c r="L284" s="10">
        <v>24.358974358974301</v>
      </c>
      <c r="M284" s="10">
        <v>5.9024541783162405</v>
      </c>
      <c r="N284" s="1">
        <v>3.6811873049394598E-7</v>
      </c>
      <c r="O284" s="10">
        <v>6.4340120843647597</v>
      </c>
      <c r="P284" s="14">
        <v>4.1269230769230703</v>
      </c>
      <c r="Q284" s="11">
        <v>40.639568457596297</v>
      </c>
      <c r="R284" s="10">
        <v>2.1</v>
      </c>
      <c r="S284" s="10">
        <v>21.49</v>
      </c>
      <c r="T284" s="10">
        <v>1.4</v>
      </c>
      <c r="V284" s="9">
        <f t="shared" si="16"/>
        <v>134</v>
      </c>
      <c r="W284" s="9">
        <f t="shared" si="17"/>
        <v>277</v>
      </c>
      <c r="X284">
        <f t="shared" si="18"/>
        <v>9</v>
      </c>
      <c r="Y284">
        <f t="shared" si="19"/>
        <v>0</v>
      </c>
      <c r="Z284">
        <v>283</v>
      </c>
    </row>
    <row r="285" spans="1:26" x14ac:dyDescent="0.2">
      <c r="A285" s="8">
        <v>80</v>
      </c>
      <c r="B285" s="9">
        <v>1932</v>
      </c>
      <c r="C285" s="9">
        <v>2</v>
      </c>
      <c r="D285" s="9">
        <v>2</v>
      </c>
      <c r="E285" s="9">
        <v>1</v>
      </c>
      <c r="F285" s="9">
        <v>1</v>
      </c>
      <c r="G285" t="s">
        <v>272</v>
      </c>
      <c r="H285" s="9">
        <v>4</v>
      </c>
      <c r="I285" s="9">
        <v>28</v>
      </c>
      <c r="J285" s="9">
        <v>5</v>
      </c>
      <c r="K285" s="10">
        <v>14.285714285714199</v>
      </c>
      <c r="L285" s="10">
        <v>80</v>
      </c>
      <c r="M285" s="10">
        <v>0.72904009720534602</v>
      </c>
      <c r="N285" s="1">
        <v>4.1420029308837201E-8</v>
      </c>
      <c r="O285" s="10">
        <v>7.3827895981354201</v>
      </c>
      <c r="P285" s="14">
        <v>109.73333333333299</v>
      </c>
      <c r="Q285" s="11">
        <v>284.37261404098098</v>
      </c>
      <c r="R285" s="10">
        <v>3.8</v>
      </c>
      <c r="S285" s="10">
        <v>21.86</v>
      </c>
      <c r="T285" s="10">
        <v>1.42</v>
      </c>
      <c r="V285" s="9">
        <f t="shared" si="16"/>
        <v>135</v>
      </c>
      <c r="W285" s="9">
        <f t="shared" si="17"/>
        <v>278</v>
      </c>
      <c r="X285">
        <f t="shared" si="18"/>
        <v>9</v>
      </c>
      <c r="Y285">
        <f t="shared" si="19"/>
        <v>0</v>
      </c>
      <c r="Z285">
        <v>284</v>
      </c>
    </row>
    <row r="286" spans="1:26" x14ac:dyDescent="0.2">
      <c r="A286" s="8">
        <v>80</v>
      </c>
      <c r="B286" s="9">
        <v>1932</v>
      </c>
      <c r="C286" s="9">
        <v>2</v>
      </c>
      <c r="D286" s="9">
        <v>2</v>
      </c>
      <c r="E286" s="9">
        <v>1</v>
      </c>
      <c r="F286" s="9">
        <v>2</v>
      </c>
      <c r="G286" t="s">
        <v>273</v>
      </c>
      <c r="H286" s="9">
        <v>4</v>
      </c>
      <c r="I286" s="9">
        <v>6</v>
      </c>
      <c r="J286" s="9">
        <v>28</v>
      </c>
      <c r="K286" s="10">
        <v>66.6666666666666</v>
      </c>
      <c r="L286" s="10">
        <v>14.285714285714199</v>
      </c>
      <c r="M286" s="10">
        <v>6.11807892321811E-2</v>
      </c>
      <c r="N286" s="1">
        <v>1.2353557722592399E-7</v>
      </c>
      <c r="O286" s="10">
        <v>6.9082079511670003</v>
      </c>
      <c r="P286" s="14">
        <v>233.49999999999901</v>
      </c>
      <c r="Q286" s="11">
        <v>235.88611295600799</v>
      </c>
      <c r="R286" s="10">
        <v>2.0099999999999998</v>
      </c>
      <c r="S286" s="10">
        <v>21.86</v>
      </c>
      <c r="T286" s="10">
        <v>1.42</v>
      </c>
      <c r="V286" s="9">
        <f t="shared" si="16"/>
        <v>135</v>
      </c>
      <c r="W286" s="9">
        <f t="shared" si="17"/>
        <v>279</v>
      </c>
      <c r="X286">
        <f t="shared" si="18"/>
        <v>9</v>
      </c>
      <c r="Y286">
        <f t="shared" si="19"/>
        <v>0</v>
      </c>
      <c r="Z286">
        <v>285</v>
      </c>
    </row>
    <row r="287" spans="1:26" x14ac:dyDescent="0.2">
      <c r="A287" s="8">
        <v>81</v>
      </c>
      <c r="B287" s="9">
        <v>158</v>
      </c>
      <c r="C287" s="9">
        <v>2</v>
      </c>
      <c r="D287" s="9">
        <v>2</v>
      </c>
      <c r="E287" s="9">
        <v>1</v>
      </c>
      <c r="F287" s="9">
        <v>1</v>
      </c>
      <c r="G287" t="s">
        <v>274</v>
      </c>
      <c r="H287" s="9">
        <v>5</v>
      </c>
      <c r="I287" s="9">
        <v>20</v>
      </c>
      <c r="J287" s="9">
        <v>38</v>
      </c>
      <c r="K287" s="10">
        <v>25</v>
      </c>
      <c r="L287" s="10">
        <v>13.157894736842099</v>
      </c>
      <c r="M287" s="10">
        <v>0.46026388462718598</v>
      </c>
      <c r="N287" s="1">
        <v>4.2401177665105903E-6</v>
      </c>
      <c r="O287" s="10">
        <v>5.3726220809932501</v>
      </c>
      <c r="P287" s="14">
        <v>28.587719298245599</v>
      </c>
      <c r="Q287" s="11">
        <v>80.488516396273397</v>
      </c>
      <c r="R287" s="10">
        <v>1.71</v>
      </c>
      <c r="S287" s="10">
        <v>21.38</v>
      </c>
      <c r="T287" s="10">
        <v>1.39</v>
      </c>
      <c r="V287" s="9">
        <f t="shared" si="16"/>
        <v>136</v>
      </c>
      <c r="W287" s="9">
        <f t="shared" si="17"/>
        <v>280</v>
      </c>
      <c r="X287">
        <f t="shared" si="18"/>
        <v>9</v>
      </c>
      <c r="Y287">
        <f t="shared" si="19"/>
        <v>0</v>
      </c>
      <c r="Z287">
        <v>286</v>
      </c>
    </row>
    <row r="288" spans="1:26" x14ac:dyDescent="0.2">
      <c r="A288" s="8">
        <v>81</v>
      </c>
      <c r="B288" s="9">
        <v>158</v>
      </c>
      <c r="C288" s="9">
        <v>2</v>
      </c>
      <c r="D288" s="9">
        <v>2</v>
      </c>
      <c r="E288" s="9">
        <v>1</v>
      </c>
      <c r="F288" s="9">
        <v>2</v>
      </c>
      <c r="G288" t="s">
        <v>275</v>
      </c>
      <c r="H288" s="9">
        <v>5</v>
      </c>
      <c r="I288" s="9">
        <v>38</v>
      </c>
      <c r="J288" s="9">
        <v>20</v>
      </c>
      <c r="K288" s="10">
        <v>13.157894736842099</v>
      </c>
      <c r="L288" s="10">
        <v>25</v>
      </c>
      <c r="M288" s="10">
        <v>1.0070186145865099</v>
      </c>
      <c r="N288" s="1">
        <v>4.2401177665105802E-6</v>
      </c>
      <c r="O288" s="10">
        <v>5.3726220809932501</v>
      </c>
      <c r="P288" s="14">
        <v>24.8257575757575</v>
      </c>
      <c r="Q288" s="11">
        <v>80.488516396273397</v>
      </c>
      <c r="R288" s="10">
        <v>0.96</v>
      </c>
      <c r="S288" s="10">
        <v>21.38</v>
      </c>
      <c r="T288" s="10">
        <v>1.39</v>
      </c>
      <c r="V288" s="9">
        <f t="shared" si="16"/>
        <v>136</v>
      </c>
      <c r="W288" s="9">
        <f t="shared" si="17"/>
        <v>281</v>
      </c>
      <c r="X288">
        <f t="shared" si="18"/>
        <v>9</v>
      </c>
      <c r="Y288">
        <f t="shared" si="19"/>
        <v>0</v>
      </c>
      <c r="Z288">
        <v>287</v>
      </c>
    </row>
    <row r="289" spans="1:26" x14ac:dyDescent="0.2">
      <c r="A289" s="8">
        <v>81</v>
      </c>
      <c r="B289" s="9">
        <v>2376</v>
      </c>
      <c r="C289" s="9">
        <v>3</v>
      </c>
      <c r="D289" s="9">
        <v>3</v>
      </c>
      <c r="E289" s="9">
        <v>1</v>
      </c>
      <c r="F289" s="9">
        <v>1</v>
      </c>
      <c r="G289" t="s">
        <v>276</v>
      </c>
      <c r="H289" s="9">
        <v>2</v>
      </c>
      <c r="I289" s="9">
        <v>2</v>
      </c>
      <c r="J289" s="9">
        <v>7</v>
      </c>
      <c r="K289" s="10">
        <v>100</v>
      </c>
      <c r="L289" s="10">
        <v>28.571428571428498</v>
      </c>
      <c r="M289" s="10">
        <v>0</v>
      </c>
      <c r="N289" s="1">
        <v>7.7298868344567496E-6</v>
      </c>
      <c r="O289" s="10">
        <v>5.11182686410634</v>
      </c>
      <c r="P289" s="14" t="s">
        <v>248</v>
      </c>
      <c r="Q289" s="11">
        <v>528.32075170309599</v>
      </c>
      <c r="R289" s="10">
        <v>7.97</v>
      </c>
      <c r="S289" s="10">
        <v>40.33</v>
      </c>
      <c r="T289" s="10">
        <v>2.63</v>
      </c>
      <c r="V289" s="9">
        <f t="shared" si="16"/>
        <v>137</v>
      </c>
      <c r="W289" s="9">
        <f t="shared" si="17"/>
        <v>282</v>
      </c>
      <c r="X289">
        <f t="shared" si="18"/>
        <v>9</v>
      </c>
      <c r="Y289">
        <f t="shared" si="19"/>
        <v>0</v>
      </c>
      <c r="Z289">
        <v>288</v>
      </c>
    </row>
    <row r="290" spans="1:26" x14ac:dyDescent="0.2">
      <c r="A290" s="8">
        <v>81</v>
      </c>
      <c r="B290" s="9">
        <v>2376</v>
      </c>
      <c r="C290" s="9">
        <v>3</v>
      </c>
      <c r="D290" s="9">
        <v>3</v>
      </c>
      <c r="E290" s="9">
        <v>1</v>
      </c>
      <c r="F290" s="9">
        <v>2</v>
      </c>
      <c r="G290" t="s">
        <v>277</v>
      </c>
      <c r="H290" s="9">
        <v>2</v>
      </c>
      <c r="I290" s="9">
        <v>2</v>
      </c>
      <c r="J290" s="9">
        <v>7</v>
      </c>
      <c r="K290" s="10">
        <v>100</v>
      </c>
      <c r="L290" s="10">
        <v>28.571428571428498</v>
      </c>
      <c r="M290" s="10">
        <v>0</v>
      </c>
      <c r="N290" s="1">
        <v>7.7298868344567496E-6</v>
      </c>
      <c r="O290" s="10">
        <v>5.11182686410634</v>
      </c>
      <c r="P290" s="14" t="s">
        <v>248</v>
      </c>
      <c r="Q290" s="11">
        <v>528.32075170309599</v>
      </c>
      <c r="R290" s="10">
        <v>0.45</v>
      </c>
      <c r="S290" s="10">
        <v>40.33</v>
      </c>
      <c r="T290" s="10">
        <v>2.63</v>
      </c>
      <c r="V290" s="9">
        <f t="shared" si="16"/>
        <v>137</v>
      </c>
      <c r="W290" s="9">
        <f t="shared" si="17"/>
        <v>283</v>
      </c>
      <c r="X290">
        <f t="shared" si="18"/>
        <v>9</v>
      </c>
      <c r="Y290">
        <f t="shared" si="19"/>
        <v>0</v>
      </c>
      <c r="Z290">
        <v>289</v>
      </c>
    </row>
    <row r="291" spans="1:26" x14ac:dyDescent="0.2">
      <c r="A291" s="8">
        <v>81</v>
      </c>
      <c r="B291" s="9">
        <v>2376</v>
      </c>
      <c r="C291" s="9">
        <v>3</v>
      </c>
      <c r="D291" s="9">
        <v>3</v>
      </c>
      <c r="E291" s="9">
        <v>1</v>
      </c>
      <c r="F291" s="9">
        <v>3</v>
      </c>
      <c r="G291" t="s">
        <v>278</v>
      </c>
      <c r="H291" s="9">
        <v>3</v>
      </c>
      <c r="I291" s="9">
        <v>7</v>
      </c>
      <c r="J291" s="9">
        <v>3</v>
      </c>
      <c r="K291" s="10">
        <v>42.857142857142797</v>
      </c>
      <c r="L291" s="10">
        <v>100</v>
      </c>
      <c r="M291" s="10">
        <v>0.12143290831815401</v>
      </c>
      <c r="N291" s="1">
        <v>1.1729722055321301E-8</v>
      </c>
      <c r="O291" s="10">
        <v>7.9307122787003497</v>
      </c>
      <c r="P291" s="14">
        <v>823.5</v>
      </c>
      <c r="Q291" s="11">
        <v>979.22452476456203</v>
      </c>
      <c r="R291" s="10">
        <v>6.14</v>
      </c>
      <c r="S291" s="10">
        <v>40.33</v>
      </c>
      <c r="T291" s="10">
        <v>2.63</v>
      </c>
      <c r="V291" s="9">
        <f t="shared" si="16"/>
        <v>137</v>
      </c>
      <c r="W291" s="9">
        <f t="shared" si="17"/>
        <v>284</v>
      </c>
      <c r="X291">
        <f t="shared" si="18"/>
        <v>9</v>
      </c>
      <c r="Y291">
        <f t="shared" si="19"/>
        <v>0</v>
      </c>
      <c r="Z291">
        <v>290</v>
      </c>
    </row>
    <row r="292" spans="1:26" x14ac:dyDescent="0.2">
      <c r="A292" s="8">
        <v>81</v>
      </c>
      <c r="B292" s="9">
        <v>2891</v>
      </c>
      <c r="C292" s="9">
        <v>2</v>
      </c>
      <c r="D292" s="9">
        <v>2</v>
      </c>
      <c r="E292" s="9">
        <v>1</v>
      </c>
      <c r="F292" s="9">
        <v>1</v>
      </c>
      <c r="G292" t="s">
        <v>279</v>
      </c>
      <c r="H292" s="9">
        <v>4</v>
      </c>
      <c r="I292" s="9">
        <v>7</v>
      </c>
      <c r="J292" s="9">
        <v>41</v>
      </c>
      <c r="K292" s="10">
        <v>57.142857142857096</v>
      </c>
      <c r="L292" s="10">
        <v>9.7560975609756095</v>
      </c>
      <c r="M292" s="10">
        <v>9.2137592137592095E-2</v>
      </c>
      <c r="N292" s="1">
        <v>1.4039193149290901E-6</v>
      </c>
      <c r="O292" s="10">
        <v>5.8526578509583302</v>
      </c>
      <c r="P292" s="14">
        <v>105.886178861788</v>
      </c>
      <c r="Q292" s="11">
        <v>135.78593886070601</v>
      </c>
      <c r="R292" s="10">
        <v>56.42</v>
      </c>
      <c r="S292" s="10">
        <v>21.59</v>
      </c>
      <c r="T292" s="10">
        <v>1.41</v>
      </c>
      <c r="V292" s="9">
        <f t="shared" si="16"/>
        <v>138</v>
      </c>
      <c r="W292" s="9">
        <f t="shared" si="17"/>
        <v>285</v>
      </c>
      <c r="X292">
        <f t="shared" si="18"/>
        <v>10</v>
      </c>
      <c r="Y292">
        <f t="shared" si="19"/>
        <v>0</v>
      </c>
      <c r="Z292">
        <v>291</v>
      </c>
    </row>
    <row r="293" spans="1:26" x14ac:dyDescent="0.2">
      <c r="A293" s="8">
        <v>81</v>
      </c>
      <c r="B293" s="9">
        <v>2891</v>
      </c>
      <c r="C293" s="9">
        <v>2</v>
      </c>
      <c r="D293" s="9">
        <v>2</v>
      </c>
      <c r="E293" s="9">
        <v>1</v>
      </c>
      <c r="F293" s="9">
        <v>2</v>
      </c>
      <c r="G293" t="s">
        <v>280</v>
      </c>
      <c r="H293" s="9">
        <v>4</v>
      </c>
      <c r="I293" s="9">
        <v>41</v>
      </c>
      <c r="J293" s="9">
        <v>7</v>
      </c>
      <c r="K293" s="10">
        <v>9.7560975609756095</v>
      </c>
      <c r="L293" s="10">
        <v>57.142857142857096</v>
      </c>
      <c r="M293" s="10">
        <v>1.1246200607902701</v>
      </c>
      <c r="N293" s="1">
        <v>1.4039193149290901E-6</v>
      </c>
      <c r="O293" s="10">
        <v>5.8526578509583302</v>
      </c>
      <c r="P293" s="14">
        <v>50.8108108108108</v>
      </c>
      <c r="Q293" s="11">
        <v>135.78593886070601</v>
      </c>
      <c r="R293" s="10">
        <v>9.39</v>
      </c>
      <c r="S293" s="10">
        <v>21.59</v>
      </c>
      <c r="T293" s="10">
        <v>1.41</v>
      </c>
      <c r="V293" s="9">
        <f t="shared" si="16"/>
        <v>138</v>
      </c>
      <c r="W293" s="9">
        <f t="shared" si="17"/>
        <v>286</v>
      </c>
      <c r="X293">
        <f t="shared" si="18"/>
        <v>10</v>
      </c>
      <c r="Y293">
        <f t="shared" si="19"/>
        <v>0</v>
      </c>
      <c r="Z293">
        <v>292</v>
      </c>
    </row>
    <row r="294" spans="1:26" x14ac:dyDescent="0.2">
      <c r="A294" s="8">
        <v>82</v>
      </c>
      <c r="B294" s="9">
        <v>101</v>
      </c>
      <c r="C294" s="9">
        <v>2</v>
      </c>
      <c r="D294" s="9">
        <v>2</v>
      </c>
      <c r="E294" s="9">
        <v>1</v>
      </c>
      <c r="F294" s="9">
        <v>1</v>
      </c>
      <c r="G294" t="s">
        <v>281</v>
      </c>
      <c r="H294" s="9">
        <v>6</v>
      </c>
      <c r="I294" s="9">
        <v>307</v>
      </c>
      <c r="J294" s="9">
        <v>7</v>
      </c>
      <c r="K294" s="10">
        <v>1.9543973941368</v>
      </c>
      <c r="L294" s="10">
        <v>85.714285714285694</v>
      </c>
      <c r="M294" s="10">
        <v>9.1489361702127603</v>
      </c>
      <c r="N294" s="1">
        <v>8.0430105595947304E-6</v>
      </c>
      <c r="O294" s="10">
        <v>5.0945813611158401</v>
      </c>
      <c r="P294" s="14">
        <v>9.3687707641195992</v>
      </c>
      <c r="Q294" s="11">
        <v>39.8486449002624</v>
      </c>
      <c r="R294" s="10">
        <v>289.89999999999998</v>
      </c>
      <c r="S294" s="10">
        <v>21.7</v>
      </c>
      <c r="T294" s="10">
        <v>1.41</v>
      </c>
      <c r="V294" s="9">
        <f t="shared" si="16"/>
        <v>139</v>
      </c>
      <c r="W294" s="9">
        <f t="shared" si="17"/>
        <v>287</v>
      </c>
      <c r="X294">
        <f t="shared" si="18"/>
        <v>10</v>
      </c>
      <c r="Y294">
        <f t="shared" si="19"/>
        <v>0</v>
      </c>
      <c r="Z294">
        <v>293</v>
      </c>
    </row>
    <row r="295" spans="1:26" x14ac:dyDescent="0.2">
      <c r="A295" s="8">
        <v>82</v>
      </c>
      <c r="B295" s="9">
        <v>101</v>
      </c>
      <c r="C295" s="9">
        <v>2</v>
      </c>
      <c r="D295" s="9">
        <v>2</v>
      </c>
      <c r="E295" s="9">
        <v>1</v>
      </c>
      <c r="F295" s="9">
        <v>2</v>
      </c>
      <c r="G295" t="s">
        <v>282</v>
      </c>
      <c r="H295" s="9">
        <v>6</v>
      </c>
      <c r="I295" s="9">
        <v>7</v>
      </c>
      <c r="J295" s="9">
        <v>305</v>
      </c>
      <c r="K295" s="10">
        <v>85.714285714285694</v>
      </c>
      <c r="L295" s="10">
        <v>1.9672131147540899</v>
      </c>
      <c r="M295" s="10">
        <v>3.3422459893048102E-2</v>
      </c>
      <c r="N295" s="1">
        <v>7.7355640430738505E-6</v>
      </c>
      <c r="O295" s="10">
        <v>5.1115080139796598</v>
      </c>
      <c r="P295" s="14">
        <v>58.859016393442602</v>
      </c>
      <c r="Q295" s="11">
        <v>40.153380283126801</v>
      </c>
      <c r="R295" s="10">
        <v>0.53</v>
      </c>
      <c r="S295" s="10">
        <v>21.7</v>
      </c>
      <c r="T295" s="10">
        <v>1.41</v>
      </c>
      <c r="V295" s="9">
        <f t="shared" si="16"/>
        <v>139</v>
      </c>
      <c r="W295" s="9">
        <f t="shared" si="17"/>
        <v>288</v>
      </c>
      <c r="X295">
        <f t="shared" si="18"/>
        <v>10</v>
      </c>
      <c r="Y295">
        <f t="shared" si="19"/>
        <v>0</v>
      </c>
      <c r="Z295">
        <v>294</v>
      </c>
    </row>
    <row r="296" spans="1:26" x14ac:dyDescent="0.2">
      <c r="A296" s="8">
        <v>82</v>
      </c>
      <c r="B296" s="9">
        <v>436</v>
      </c>
      <c r="C296" s="9">
        <v>2</v>
      </c>
      <c r="D296" s="9">
        <v>2</v>
      </c>
      <c r="E296" s="9">
        <v>1</v>
      </c>
      <c r="F296" s="9">
        <v>1</v>
      </c>
      <c r="G296" t="s">
        <v>283</v>
      </c>
      <c r="H296" s="9">
        <v>4</v>
      </c>
      <c r="I296" s="9">
        <v>36</v>
      </c>
      <c r="J296" s="9">
        <v>9</v>
      </c>
      <c r="K296" s="10">
        <v>11.1111111111111</v>
      </c>
      <c r="L296" s="10">
        <v>44.4444444444444</v>
      </c>
      <c r="M296" s="10">
        <v>0.97323600973235991</v>
      </c>
      <c r="N296" s="1">
        <v>2.9049200842433902E-6</v>
      </c>
      <c r="O296" s="10">
        <v>5.5368658107605704</v>
      </c>
      <c r="P296" s="14">
        <v>45.6666666666666</v>
      </c>
      <c r="Q296" s="11">
        <v>119.37918473165399</v>
      </c>
      <c r="R296" s="10">
        <v>51.98</v>
      </c>
      <c r="S296" s="10">
        <v>21.24</v>
      </c>
      <c r="T296" s="10">
        <v>1.38</v>
      </c>
      <c r="V296" s="9">
        <f t="shared" si="16"/>
        <v>140</v>
      </c>
      <c r="W296" s="9">
        <f t="shared" si="17"/>
        <v>289</v>
      </c>
      <c r="X296">
        <f t="shared" si="18"/>
        <v>10</v>
      </c>
      <c r="Y296">
        <f t="shared" si="19"/>
        <v>0</v>
      </c>
      <c r="Z296">
        <v>295</v>
      </c>
    </row>
    <row r="297" spans="1:26" x14ac:dyDescent="0.2">
      <c r="A297" s="8">
        <v>82</v>
      </c>
      <c r="B297" s="9">
        <v>436</v>
      </c>
      <c r="C297" s="9">
        <v>2</v>
      </c>
      <c r="D297" s="9">
        <v>2</v>
      </c>
      <c r="E297" s="9">
        <v>1</v>
      </c>
      <c r="F297" s="9">
        <v>2</v>
      </c>
      <c r="G297" t="s">
        <v>284</v>
      </c>
      <c r="H297" s="9">
        <v>4</v>
      </c>
      <c r="I297" s="9">
        <v>9</v>
      </c>
      <c r="J297" s="9">
        <v>36</v>
      </c>
      <c r="K297" s="10">
        <v>44.4444444444444</v>
      </c>
      <c r="L297" s="10">
        <v>11.1111111111111</v>
      </c>
      <c r="M297" s="10">
        <v>0.15332720024532298</v>
      </c>
      <c r="N297" s="1">
        <v>2.9049200842433902E-6</v>
      </c>
      <c r="O297" s="10">
        <v>5.5368658107605704</v>
      </c>
      <c r="P297" s="14">
        <v>72.466666666666598</v>
      </c>
      <c r="Q297" s="11">
        <v>119.37918473165399</v>
      </c>
      <c r="R297" s="10">
        <v>0.61</v>
      </c>
      <c r="S297" s="10">
        <v>21.24</v>
      </c>
      <c r="T297" s="10">
        <v>1.38</v>
      </c>
      <c r="V297" s="9">
        <f t="shared" si="16"/>
        <v>140</v>
      </c>
      <c r="W297" s="9">
        <f t="shared" si="17"/>
        <v>290</v>
      </c>
      <c r="X297">
        <f t="shared" si="18"/>
        <v>10</v>
      </c>
      <c r="Y297">
        <f t="shared" si="19"/>
        <v>0</v>
      </c>
      <c r="Z297">
        <v>296</v>
      </c>
    </row>
    <row r="298" spans="1:26" x14ac:dyDescent="0.2">
      <c r="A298" s="8">
        <v>82</v>
      </c>
      <c r="B298" s="9">
        <v>521</v>
      </c>
      <c r="C298" s="9">
        <v>2</v>
      </c>
      <c r="D298" s="9">
        <v>2</v>
      </c>
      <c r="E298" s="9">
        <v>1</v>
      </c>
      <c r="F298" s="9">
        <v>1</v>
      </c>
      <c r="G298" t="s">
        <v>172</v>
      </c>
      <c r="H298" s="9">
        <v>5</v>
      </c>
      <c r="I298" s="9">
        <v>188</v>
      </c>
      <c r="J298" s="9">
        <v>6</v>
      </c>
      <c r="K298" s="10">
        <v>2.6595744680851001</v>
      </c>
      <c r="L298" s="10">
        <v>83.3333333333333</v>
      </c>
      <c r="M298" s="10">
        <v>5.5606198723792097</v>
      </c>
      <c r="N298" s="1">
        <v>6.5585368599872804E-6</v>
      </c>
      <c r="O298" s="10">
        <v>5.18319303631149</v>
      </c>
      <c r="P298" s="14">
        <v>14.9863387978142</v>
      </c>
      <c r="Q298" s="11">
        <v>53.683536238639803</v>
      </c>
      <c r="R298" s="10">
        <v>65.349999999999994</v>
      </c>
      <c r="S298" s="10">
        <v>22.81</v>
      </c>
      <c r="T298" s="10">
        <v>1.49</v>
      </c>
      <c r="V298" s="9">
        <f t="shared" si="16"/>
        <v>141</v>
      </c>
      <c r="W298" s="9">
        <f t="shared" si="17"/>
        <v>291</v>
      </c>
      <c r="X298">
        <f t="shared" si="18"/>
        <v>10</v>
      </c>
      <c r="Y298">
        <f t="shared" si="19"/>
        <v>0</v>
      </c>
      <c r="Z298">
        <v>297</v>
      </c>
    </row>
    <row r="299" spans="1:26" x14ac:dyDescent="0.2">
      <c r="A299" s="8">
        <v>82</v>
      </c>
      <c r="B299" s="9">
        <v>521</v>
      </c>
      <c r="C299" s="9">
        <v>2</v>
      </c>
      <c r="D299" s="9">
        <v>2</v>
      </c>
      <c r="E299" s="9">
        <v>1</v>
      </c>
      <c r="F299" s="9">
        <v>2</v>
      </c>
      <c r="G299" t="s">
        <v>285</v>
      </c>
      <c r="H299" s="9">
        <v>5</v>
      </c>
      <c r="I299" s="9">
        <v>6</v>
      </c>
      <c r="J299" s="9">
        <v>185</v>
      </c>
      <c r="K299" s="10">
        <v>83.3333333333333</v>
      </c>
      <c r="L299" s="10">
        <v>2.7027027027027</v>
      </c>
      <c r="M299" s="10">
        <v>3.2133676092544895E-2</v>
      </c>
      <c r="N299" s="1">
        <v>6.0511972467565598E-6</v>
      </c>
      <c r="O299" s="10">
        <v>5.2181586904353097</v>
      </c>
      <c r="P299" s="14">
        <v>84.108108108108098</v>
      </c>
      <c r="Q299" s="11">
        <v>54.644710133206502</v>
      </c>
      <c r="R299" s="10">
        <v>0.28999999999999998</v>
      </c>
      <c r="S299" s="10">
        <v>22.81</v>
      </c>
      <c r="T299" s="10">
        <v>1.49</v>
      </c>
      <c r="V299" s="9">
        <f t="shared" si="16"/>
        <v>141</v>
      </c>
      <c r="W299" s="9">
        <f t="shared" si="17"/>
        <v>292</v>
      </c>
      <c r="X299">
        <f t="shared" si="18"/>
        <v>10</v>
      </c>
      <c r="Y299">
        <f t="shared" si="19"/>
        <v>0</v>
      </c>
      <c r="Z299">
        <v>298</v>
      </c>
    </row>
    <row r="300" spans="1:26" x14ac:dyDescent="0.2">
      <c r="A300" s="8">
        <v>84</v>
      </c>
      <c r="B300" s="9">
        <v>1763</v>
      </c>
      <c r="C300" s="9">
        <v>2</v>
      </c>
      <c r="D300" s="9">
        <v>2</v>
      </c>
      <c r="E300" s="9">
        <v>1</v>
      </c>
      <c r="F300" s="9">
        <v>1</v>
      </c>
      <c r="G300" t="s">
        <v>286</v>
      </c>
      <c r="H300" s="9">
        <v>4</v>
      </c>
      <c r="I300" s="9">
        <v>20</v>
      </c>
      <c r="J300" s="9">
        <v>18</v>
      </c>
      <c r="K300" s="10">
        <v>20</v>
      </c>
      <c r="L300" s="10">
        <v>22.2222222222222</v>
      </c>
      <c r="M300" s="10">
        <v>0.48795364440378103</v>
      </c>
      <c r="N300" s="1">
        <v>5.7131785853233704E-6</v>
      </c>
      <c r="O300" s="10">
        <v>5.2431222003384796</v>
      </c>
      <c r="P300" s="14">
        <v>45.5416666666666</v>
      </c>
      <c r="Q300" s="11">
        <v>106.522990176829</v>
      </c>
      <c r="R300" s="10">
        <v>27.07</v>
      </c>
      <c r="S300" s="10">
        <v>17.809999999999999</v>
      </c>
      <c r="T300" s="10">
        <v>1.1599999999999999</v>
      </c>
      <c r="V300" s="9">
        <f t="shared" si="16"/>
        <v>142</v>
      </c>
      <c r="W300" s="9">
        <f t="shared" si="17"/>
        <v>293</v>
      </c>
      <c r="X300">
        <f t="shared" si="18"/>
        <v>10</v>
      </c>
      <c r="Y300">
        <f t="shared" si="19"/>
        <v>0</v>
      </c>
      <c r="Z300">
        <v>299</v>
      </c>
    </row>
    <row r="301" spans="1:26" x14ac:dyDescent="0.2">
      <c r="A301" s="8">
        <v>84</v>
      </c>
      <c r="B301" s="9">
        <v>1763</v>
      </c>
      <c r="C301" s="9">
        <v>2</v>
      </c>
      <c r="D301" s="9">
        <v>2</v>
      </c>
      <c r="E301" s="9">
        <v>1</v>
      </c>
      <c r="F301" s="9">
        <v>2</v>
      </c>
      <c r="G301" t="s">
        <v>287</v>
      </c>
      <c r="H301" s="9">
        <v>4</v>
      </c>
      <c r="I301" s="9">
        <v>18</v>
      </c>
      <c r="J301" s="9">
        <v>22</v>
      </c>
      <c r="K301" s="10">
        <v>22.2222222222222</v>
      </c>
      <c r="L301" s="10">
        <v>18.181818181818098</v>
      </c>
      <c r="M301" s="10">
        <v>0.42748091603053401</v>
      </c>
      <c r="N301" s="1">
        <v>8.5670983709299705E-6</v>
      </c>
      <c r="O301" s="10">
        <v>5.0671662463235201</v>
      </c>
      <c r="P301" s="14">
        <v>42.5324675324675</v>
      </c>
      <c r="Q301" s="11">
        <v>96.2751657589492</v>
      </c>
      <c r="R301" s="10">
        <v>30.28</v>
      </c>
      <c r="S301" s="10">
        <v>17.809999999999999</v>
      </c>
      <c r="T301" s="10">
        <v>1.1599999999999999</v>
      </c>
      <c r="V301" s="9">
        <f t="shared" si="16"/>
        <v>142</v>
      </c>
      <c r="W301" s="9">
        <f t="shared" si="17"/>
        <v>294</v>
      </c>
      <c r="X301">
        <f t="shared" si="18"/>
        <v>10</v>
      </c>
      <c r="Y301">
        <f t="shared" si="19"/>
        <v>0</v>
      </c>
      <c r="Z301">
        <v>300</v>
      </c>
    </row>
    <row r="302" spans="1:26" x14ac:dyDescent="0.2">
      <c r="A302" s="8">
        <v>85</v>
      </c>
      <c r="B302" s="9">
        <v>309</v>
      </c>
      <c r="C302" s="9">
        <v>2</v>
      </c>
      <c r="D302" s="9">
        <v>2</v>
      </c>
      <c r="E302" s="9">
        <v>1</v>
      </c>
      <c r="F302" s="9">
        <v>1</v>
      </c>
      <c r="G302" t="s">
        <v>288</v>
      </c>
      <c r="H302" s="9">
        <v>4</v>
      </c>
      <c r="I302" s="9">
        <v>8</v>
      </c>
      <c r="J302" s="9">
        <v>40</v>
      </c>
      <c r="K302" s="10">
        <v>50</v>
      </c>
      <c r="L302" s="10">
        <v>10</v>
      </c>
      <c r="M302" s="10">
        <v>0.12281240405280899</v>
      </c>
      <c r="N302" s="1">
        <v>2.5135965444424901E-6</v>
      </c>
      <c r="O302" s="10">
        <v>5.5997044293484102</v>
      </c>
      <c r="P302" s="14">
        <v>81.424999999999997</v>
      </c>
      <c r="Q302" s="11">
        <v>121.069386745771</v>
      </c>
      <c r="R302" s="10">
        <v>3.6</v>
      </c>
      <c r="S302" s="10">
        <v>24.5</v>
      </c>
      <c r="T302" s="10">
        <v>1.6</v>
      </c>
      <c r="V302" s="9">
        <f t="shared" si="16"/>
        <v>143</v>
      </c>
      <c r="W302" s="9">
        <f t="shared" si="17"/>
        <v>295</v>
      </c>
      <c r="X302">
        <f t="shared" si="18"/>
        <v>10</v>
      </c>
      <c r="Y302">
        <f t="shared" si="19"/>
        <v>0</v>
      </c>
      <c r="Z302">
        <v>301</v>
      </c>
    </row>
    <row r="303" spans="1:26" x14ac:dyDescent="0.2">
      <c r="A303" s="8">
        <v>85</v>
      </c>
      <c r="B303" s="9">
        <v>309</v>
      </c>
      <c r="C303" s="9">
        <v>2</v>
      </c>
      <c r="D303" s="9">
        <v>2</v>
      </c>
      <c r="E303" s="9">
        <v>1</v>
      </c>
      <c r="F303" s="9">
        <v>2</v>
      </c>
      <c r="G303" t="s">
        <v>289</v>
      </c>
      <c r="H303" s="9">
        <v>4</v>
      </c>
      <c r="I303" s="9">
        <v>40</v>
      </c>
      <c r="J303" s="9">
        <v>8</v>
      </c>
      <c r="K303" s="10">
        <v>10</v>
      </c>
      <c r="L303" s="10">
        <v>50</v>
      </c>
      <c r="M303" s="10">
        <v>1.0945576162967401</v>
      </c>
      <c r="N303" s="1">
        <v>2.51359654444248E-6</v>
      </c>
      <c r="O303" s="10">
        <v>5.5997044293484102</v>
      </c>
      <c r="P303" s="14">
        <v>45.6805555555555</v>
      </c>
      <c r="Q303" s="11">
        <v>121.069386745771</v>
      </c>
      <c r="R303" s="10">
        <v>8.39</v>
      </c>
      <c r="S303" s="10">
        <v>24.5</v>
      </c>
      <c r="T303" s="10">
        <v>1.6</v>
      </c>
      <c r="V303" s="9">
        <f t="shared" si="16"/>
        <v>143</v>
      </c>
      <c r="W303" s="9">
        <f t="shared" si="17"/>
        <v>296</v>
      </c>
      <c r="X303">
        <f t="shared" si="18"/>
        <v>10</v>
      </c>
      <c r="Y303">
        <f t="shared" si="19"/>
        <v>0</v>
      </c>
      <c r="Z303">
        <v>302</v>
      </c>
    </row>
    <row r="304" spans="1:26" x14ac:dyDescent="0.2">
      <c r="A304" s="8">
        <v>85</v>
      </c>
      <c r="B304" s="9">
        <v>521</v>
      </c>
      <c r="C304" s="9">
        <v>2</v>
      </c>
      <c r="D304" s="9">
        <v>2</v>
      </c>
      <c r="E304" s="9">
        <v>1</v>
      </c>
      <c r="F304" s="9">
        <v>1</v>
      </c>
      <c r="G304" t="s">
        <v>172</v>
      </c>
      <c r="H304" s="9">
        <v>7</v>
      </c>
      <c r="I304" s="9">
        <v>188</v>
      </c>
      <c r="J304" s="9">
        <v>14</v>
      </c>
      <c r="K304" s="10">
        <v>3.7234042553191395</v>
      </c>
      <c r="L304" s="10">
        <v>50</v>
      </c>
      <c r="M304" s="10">
        <v>5.51325007614986</v>
      </c>
      <c r="N304" s="1">
        <v>8.5665654543299004E-6</v>
      </c>
      <c r="O304" s="10">
        <v>5.0671932624645102</v>
      </c>
      <c r="P304" s="14">
        <v>9.0690607734806594</v>
      </c>
      <c r="Q304" s="11">
        <v>43.369843088515303</v>
      </c>
      <c r="R304" s="10">
        <v>65.349999999999994</v>
      </c>
      <c r="S304" s="10">
        <v>22.04</v>
      </c>
      <c r="T304" s="10">
        <v>1.44</v>
      </c>
      <c r="V304" s="9">
        <f t="shared" si="16"/>
        <v>144</v>
      </c>
      <c r="W304" s="9">
        <f t="shared" si="17"/>
        <v>297</v>
      </c>
      <c r="X304">
        <f t="shared" si="18"/>
        <v>10</v>
      </c>
      <c r="Y304">
        <f t="shared" si="19"/>
        <v>0</v>
      </c>
      <c r="Z304">
        <v>303</v>
      </c>
    </row>
    <row r="305" spans="1:26" x14ac:dyDescent="0.2">
      <c r="A305" s="8">
        <v>85</v>
      </c>
      <c r="B305" s="9">
        <v>521</v>
      </c>
      <c r="C305" s="9">
        <v>2</v>
      </c>
      <c r="D305" s="9">
        <v>2</v>
      </c>
      <c r="E305" s="9">
        <v>1</v>
      </c>
      <c r="F305" s="9">
        <v>2</v>
      </c>
      <c r="G305" t="s">
        <v>290</v>
      </c>
      <c r="H305" s="9">
        <v>7</v>
      </c>
      <c r="I305" s="9">
        <v>14</v>
      </c>
      <c r="J305" s="9">
        <v>186</v>
      </c>
      <c r="K305" s="10">
        <v>50</v>
      </c>
      <c r="L305" s="10">
        <v>3.7634408602150495</v>
      </c>
      <c r="M305" s="10">
        <v>0.22500803600128499</v>
      </c>
      <c r="N305" s="1">
        <v>7.9698362795239097E-6</v>
      </c>
      <c r="O305" s="10">
        <v>5.09855060001287</v>
      </c>
      <c r="P305" s="14">
        <v>16.7258064516129</v>
      </c>
      <c r="Q305" s="11">
        <v>43.938603605684499</v>
      </c>
      <c r="R305" s="10">
        <v>5.6</v>
      </c>
      <c r="S305" s="10">
        <v>22.04</v>
      </c>
      <c r="T305" s="10">
        <v>1.44</v>
      </c>
      <c r="V305" s="9">
        <f t="shared" si="16"/>
        <v>144</v>
      </c>
      <c r="W305" s="9">
        <f t="shared" si="17"/>
        <v>298</v>
      </c>
      <c r="X305">
        <f t="shared" si="18"/>
        <v>10</v>
      </c>
      <c r="Y305">
        <f t="shared" si="19"/>
        <v>0</v>
      </c>
      <c r="Z305">
        <v>304</v>
      </c>
    </row>
    <row r="306" spans="1:26" x14ac:dyDescent="0.2">
      <c r="A306" s="8">
        <v>85</v>
      </c>
      <c r="B306" s="9">
        <v>1130</v>
      </c>
      <c r="C306" s="9">
        <v>2</v>
      </c>
      <c r="D306" s="9">
        <v>2</v>
      </c>
      <c r="E306" s="9">
        <v>1</v>
      </c>
      <c r="F306" s="9">
        <v>1</v>
      </c>
      <c r="G306" t="s">
        <v>233</v>
      </c>
      <c r="H306" s="9">
        <v>7</v>
      </c>
      <c r="I306" s="9">
        <v>420</v>
      </c>
      <c r="J306" s="9">
        <v>8</v>
      </c>
      <c r="K306" s="10">
        <v>1.6666666666666601</v>
      </c>
      <c r="L306" s="10">
        <v>87.5</v>
      </c>
      <c r="M306" s="10">
        <v>12.557008209182099</v>
      </c>
      <c r="N306" s="1">
        <v>7.42062807616104E-6</v>
      </c>
      <c r="O306" s="10">
        <v>5.1295593348197404</v>
      </c>
      <c r="P306" s="14">
        <v>6.9682203389830502</v>
      </c>
      <c r="Q306" s="11">
        <v>33.862285979947501</v>
      </c>
      <c r="R306" s="10">
        <v>49.06</v>
      </c>
      <c r="S306" s="10">
        <v>22.66</v>
      </c>
      <c r="T306" s="10">
        <v>1.48</v>
      </c>
      <c r="V306" s="9">
        <f t="shared" si="16"/>
        <v>145</v>
      </c>
      <c r="W306" s="9">
        <f t="shared" si="17"/>
        <v>299</v>
      </c>
      <c r="X306">
        <f t="shared" si="18"/>
        <v>10</v>
      </c>
      <c r="Y306">
        <f t="shared" si="19"/>
        <v>0</v>
      </c>
      <c r="Z306">
        <v>305</v>
      </c>
    </row>
    <row r="307" spans="1:26" x14ac:dyDescent="0.2">
      <c r="A307" s="8">
        <v>85</v>
      </c>
      <c r="B307" s="9">
        <v>1130</v>
      </c>
      <c r="C307" s="9">
        <v>2</v>
      </c>
      <c r="D307" s="9">
        <v>2</v>
      </c>
      <c r="E307" s="9">
        <v>1</v>
      </c>
      <c r="F307" s="9">
        <v>2</v>
      </c>
      <c r="G307" t="s">
        <v>291</v>
      </c>
      <c r="H307" s="9">
        <v>7</v>
      </c>
      <c r="I307" s="9">
        <v>7</v>
      </c>
      <c r="J307" s="9">
        <v>435</v>
      </c>
      <c r="K307" s="10">
        <v>100</v>
      </c>
      <c r="L307" s="10">
        <v>1.6091954022988499</v>
      </c>
      <c r="M307" s="10">
        <v>0</v>
      </c>
      <c r="N307" s="1">
        <v>1.33450141847401E-6</v>
      </c>
      <c r="O307" s="10">
        <v>5.8746809602540599</v>
      </c>
      <c r="P307" s="14" t="s">
        <v>292</v>
      </c>
      <c r="Q307" s="11">
        <v>38.870221290900098</v>
      </c>
      <c r="R307" s="10">
        <v>0.69</v>
      </c>
      <c r="S307" s="10">
        <v>22.66</v>
      </c>
      <c r="T307" s="10">
        <v>1.48</v>
      </c>
      <c r="V307" s="9">
        <f t="shared" si="16"/>
        <v>145</v>
      </c>
      <c r="W307" s="9">
        <f t="shared" si="17"/>
        <v>300</v>
      </c>
      <c r="X307">
        <f t="shared" si="18"/>
        <v>10</v>
      </c>
      <c r="Y307">
        <f t="shared" si="19"/>
        <v>0</v>
      </c>
      <c r="Z307">
        <v>306</v>
      </c>
    </row>
    <row r="308" spans="1:26" x14ac:dyDescent="0.2">
      <c r="A308" s="8">
        <v>86</v>
      </c>
      <c r="B308" s="9">
        <v>2494</v>
      </c>
      <c r="C308" s="9">
        <v>2</v>
      </c>
      <c r="D308" s="9">
        <v>2</v>
      </c>
      <c r="E308" s="9">
        <v>1</v>
      </c>
      <c r="F308" s="9">
        <v>1</v>
      </c>
      <c r="G308" t="s">
        <v>293</v>
      </c>
      <c r="H308" s="9">
        <v>4</v>
      </c>
      <c r="I308" s="9">
        <v>6</v>
      </c>
      <c r="J308" s="9">
        <v>60</v>
      </c>
      <c r="K308" s="10">
        <v>66.6666666666666</v>
      </c>
      <c r="L308" s="10">
        <v>6.6666666666666599</v>
      </c>
      <c r="M308" s="10">
        <v>6.1785603954278602E-2</v>
      </c>
      <c r="N308" s="1">
        <v>2.8963176835198601E-6</v>
      </c>
      <c r="O308" s="10">
        <v>5.5381538041348097</v>
      </c>
      <c r="P308" s="14">
        <v>107.899999999999</v>
      </c>
      <c r="Q308" s="11">
        <v>107.446092291119</v>
      </c>
      <c r="R308" s="10">
        <v>0.65</v>
      </c>
      <c r="S308" s="10">
        <v>21.34</v>
      </c>
      <c r="T308" s="10">
        <v>1.39</v>
      </c>
      <c r="V308" s="9">
        <f t="shared" si="16"/>
        <v>146</v>
      </c>
      <c r="W308" s="9">
        <f t="shared" si="17"/>
        <v>301</v>
      </c>
      <c r="X308">
        <f t="shared" si="18"/>
        <v>10</v>
      </c>
      <c r="Y308">
        <f t="shared" si="19"/>
        <v>0</v>
      </c>
      <c r="Z308">
        <v>307</v>
      </c>
    </row>
    <row r="309" spans="1:26" x14ac:dyDescent="0.2">
      <c r="A309" s="8">
        <v>86</v>
      </c>
      <c r="B309" s="9">
        <v>2494</v>
      </c>
      <c r="C309" s="9">
        <v>2</v>
      </c>
      <c r="D309" s="9">
        <v>2</v>
      </c>
      <c r="E309" s="9">
        <v>1</v>
      </c>
      <c r="F309" s="9">
        <v>2</v>
      </c>
      <c r="G309" t="s">
        <v>294</v>
      </c>
      <c r="H309" s="9">
        <v>4</v>
      </c>
      <c r="I309" s="9">
        <v>60</v>
      </c>
      <c r="J309" s="9">
        <v>6</v>
      </c>
      <c r="K309" s="10">
        <v>6.6666666666666599</v>
      </c>
      <c r="L309" s="10">
        <v>66.6666666666666</v>
      </c>
      <c r="M309" s="10">
        <v>1.7016104527499201</v>
      </c>
      <c r="N309" s="1">
        <v>2.8963176835198601E-6</v>
      </c>
      <c r="O309" s="10">
        <v>5.5381538041348097</v>
      </c>
      <c r="P309" s="14">
        <v>39.178571428571402</v>
      </c>
      <c r="Q309" s="11">
        <v>107.446092291119</v>
      </c>
      <c r="R309" s="10">
        <v>1.35</v>
      </c>
      <c r="S309" s="10">
        <v>21.34</v>
      </c>
      <c r="T309" s="10">
        <v>1.39</v>
      </c>
      <c r="V309" s="9">
        <f t="shared" si="16"/>
        <v>146</v>
      </c>
      <c r="W309" s="9">
        <f t="shared" si="17"/>
        <v>302</v>
      </c>
      <c r="X309">
        <f t="shared" si="18"/>
        <v>10</v>
      </c>
      <c r="Y309">
        <f t="shared" si="19"/>
        <v>0</v>
      </c>
      <c r="Z309">
        <v>308</v>
      </c>
    </row>
    <row r="310" spans="1:26" x14ac:dyDescent="0.2">
      <c r="A310" s="8">
        <v>87</v>
      </c>
      <c r="B310" s="9">
        <v>1132</v>
      </c>
      <c r="C310" s="9">
        <v>2</v>
      </c>
      <c r="D310" s="9">
        <v>2</v>
      </c>
      <c r="E310" s="9">
        <v>1</v>
      </c>
      <c r="F310" s="9">
        <v>1</v>
      </c>
      <c r="G310" t="s">
        <v>295</v>
      </c>
      <c r="H310" s="9">
        <v>4</v>
      </c>
      <c r="I310" s="9">
        <v>4</v>
      </c>
      <c r="J310" s="9">
        <v>126</v>
      </c>
      <c r="K310" s="10">
        <v>100</v>
      </c>
      <c r="L310" s="10">
        <v>3.1746031746031704</v>
      </c>
      <c r="M310" s="10">
        <v>0</v>
      </c>
      <c r="N310" s="1">
        <v>4.0733542984462702E-6</v>
      </c>
      <c r="O310" s="10">
        <v>5.3900478135407601</v>
      </c>
      <c r="P310" s="14" t="s">
        <v>296</v>
      </c>
      <c r="Q310" s="11">
        <v>76.292960572094501</v>
      </c>
      <c r="R310" s="10">
        <v>0.4</v>
      </c>
      <c r="S310" s="10">
        <v>21.44</v>
      </c>
      <c r="T310" s="10">
        <v>1.4</v>
      </c>
      <c r="V310" s="9">
        <f t="shared" si="16"/>
        <v>147</v>
      </c>
      <c r="W310" s="9">
        <f t="shared" si="17"/>
        <v>303</v>
      </c>
      <c r="X310">
        <f t="shared" si="18"/>
        <v>10</v>
      </c>
      <c r="Y310">
        <f t="shared" si="19"/>
        <v>0</v>
      </c>
      <c r="Z310">
        <v>309</v>
      </c>
    </row>
    <row r="311" spans="1:26" x14ac:dyDescent="0.2">
      <c r="A311" s="8">
        <v>87</v>
      </c>
      <c r="B311" s="9">
        <v>1132</v>
      </c>
      <c r="C311" s="9">
        <v>2</v>
      </c>
      <c r="D311" s="9">
        <v>2</v>
      </c>
      <c r="E311" s="9">
        <v>1</v>
      </c>
      <c r="F311" s="9">
        <v>2</v>
      </c>
      <c r="G311" t="s">
        <v>19</v>
      </c>
      <c r="H311" s="9">
        <v>4</v>
      </c>
      <c r="I311" s="9">
        <v>126</v>
      </c>
      <c r="J311" s="9">
        <v>4</v>
      </c>
      <c r="K311" s="10">
        <v>3.1746031746031704</v>
      </c>
      <c r="L311" s="10">
        <v>100</v>
      </c>
      <c r="M311" s="10">
        <v>3.7048284239295395</v>
      </c>
      <c r="N311" s="1">
        <v>4.0733542984462803E-6</v>
      </c>
      <c r="O311" s="10">
        <v>5.3900478135407601</v>
      </c>
      <c r="P311" s="14">
        <v>26.991803278688501</v>
      </c>
      <c r="Q311" s="11">
        <v>76.292960572094501</v>
      </c>
      <c r="R311" s="10">
        <v>2.27</v>
      </c>
      <c r="S311" s="10">
        <v>21.44</v>
      </c>
      <c r="T311" s="10">
        <v>1.4</v>
      </c>
      <c r="V311" s="9">
        <f t="shared" si="16"/>
        <v>147</v>
      </c>
      <c r="W311" s="9">
        <f t="shared" si="17"/>
        <v>304</v>
      </c>
      <c r="X311">
        <f t="shared" si="18"/>
        <v>10</v>
      </c>
      <c r="Y311">
        <f t="shared" si="19"/>
        <v>0</v>
      </c>
      <c r="Z311">
        <v>310</v>
      </c>
    </row>
    <row r="312" spans="1:26" x14ac:dyDescent="0.2">
      <c r="A312" s="8">
        <v>88</v>
      </c>
      <c r="B312" s="9">
        <v>1130</v>
      </c>
      <c r="C312" s="9">
        <v>2</v>
      </c>
      <c r="D312" s="9">
        <v>2</v>
      </c>
      <c r="E312" s="9">
        <v>1</v>
      </c>
      <c r="F312" s="9">
        <v>1</v>
      </c>
      <c r="G312" t="s">
        <v>233</v>
      </c>
      <c r="H312" s="9">
        <v>54</v>
      </c>
      <c r="I312" s="9">
        <v>420</v>
      </c>
      <c r="J312" s="9">
        <v>212</v>
      </c>
      <c r="K312" s="10">
        <v>12.857142857142801</v>
      </c>
      <c r="L312" s="10">
        <v>25.471698113207502</v>
      </c>
      <c r="M312" s="10">
        <v>11.8638573743922</v>
      </c>
      <c r="N312" s="1">
        <v>2.7325348148464299E-7</v>
      </c>
      <c r="O312" s="10">
        <v>6.5634342960573502</v>
      </c>
      <c r="P312" s="14">
        <v>2.1469996906897602</v>
      </c>
      <c r="Q312" s="11">
        <v>33.044505697162698</v>
      </c>
      <c r="R312" s="10">
        <v>49.06</v>
      </c>
      <c r="S312" s="10">
        <v>21.23</v>
      </c>
      <c r="T312" s="10">
        <v>1.38</v>
      </c>
      <c r="V312" s="9">
        <f t="shared" si="16"/>
        <v>148</v>
      </c>
      <c r="W312" s="9">
        <f t="shared" si="17"/>
        <v>305</v>
      </c>
      <c r="X312">
        <f t="shared" si="18"/>
        <v>10</v>
      </c>
      <c r="Y312">
        <f t="shared" si="19"/>
        <v>0</v>
      </c>
      <c r="Z312">
        <v>311</v>
      </c>
    </row>
    <row r="313" spans="1:26" x14ac:dyDescent="0.2">
      <c r="A313" s="8">
        <v>88</v>
      </c>
      <c r="B313" s="9">
        <v>1130</v>
      </c>
      <c r="C313" s="9">
        <v>2</v>
      </c>
      <c r="D313" s="9">
        <v>2</v>
      </c>
      <c r="E313" s="9">
        <v>1</v>
      </c>
      <c r="F313" s="9">
        <v>2</v>
      </c>
      <c r="G313" t="s">
        <v>147</v>
      </c>
      <c r="H313" s="9">
        <v>54</v>
      </c>
      <c r="I313" s="9">
        <v>214</v>
      </c>
      <c r="J313" s="9">
        <v>428</v>
      </c>
      <c r="K313" s="10">
        <v>25.233644859812998</v>
      </c>
      <c r="L313" s="10">
        <v>12.616822429906499</v>
      </c>
      <c r="M313" s="10">
        <v>5.57685604740327</v>
      </c>
      <c r="N313" s="1">
        <v>7.3111119679787998E-7</v>
      </c>
      <c r="O313" s="10">
        <v>6.1360165649257299</v>
      </c>
      <c r="P313" s="14">
        <v>2.26235397196261</v>
      </c>
      <c r="Q313" s="11">
        <v>30.412150913124499</v>
      </c>
      <c r="R313" s="10">
        <v>5.17</v>
      </c>
      <c r="S313" s="10">
        <v>21.23</v>
      </c>
      <c r="T313" s="10">
        <v>1.38</v>
      </c>
      <c r="V313" s="9">
        <f t="shared" si="16"/>
        <v>148</v>
      </c>
      <c r="W313" s="9">
        <f t="shared" si="17"/>
        <v>306</v>
      </c>
      <c r="X313">
        <f t="shared" si="18"/>
        <v>10</v>
      </c>
      <c r="Y313">
        <f t="shared" si="19"/>
        <v>0</v>
      </c>
      <c r="Z313">
        <v>312</v>
      </c>
    </row>
    <row r="314" spans="1:26" x14ac:dyDescent="0.2">
      <c r="A314" s="8">
        <v>88</v>
      </c>
      <c r="B314" s="9">
        <v>1639</v>
      </c>
      <c r="C314" s="9">
        <v>2</v>
      </c>
      <c r="D314" s="9">
        <v>2</v>
      </c>
      <c r="E314" s="9">
        <v>1</v>
      </c>
      <c r="F314" s="9">
        <v>1</v>
      </c>
      <c r="G314" t="s">
        <v>108</v>
      </c>
      <c r="H314" s="9">
        <v>4</v>
      </c>
      <c r="I314" s="9">
        <v>4</v>
      </c>
      <c r="J314" s="9">
        <v>112</v>
      </c>
      <c r="K314" s="10">
        <v>100</v>
      </c>
      <c r="L314" s="10">
        <v>3.5714285714285698</v>
      </c>
      <c r="M314" s="10">
        <v>0</v>
      </c>
      <c r="N314" s="1">
        <v>2.5275806170745199E-6</v>
      </c>
      <c r="O314" s="10">
        <v>5.5972949837123203</v>
      </c>
      <c r="P314" s="14" t="s">
        <v>297</v>
      </c>
      <c r="Q314" s="11">
        <v>86.321769206679605</v>
      </c>
      <c r="R314" s="10">
        <v>0.27</v>
      </c>
      <c r="S314" s="10">
        <v>20.85</v>
      </c>
      <c r="T314" s="10">
        <v>1.36</v>
      </c>
      <c r="V314" s="9">
        <f t="shared" si="16"/>
        <v>149</v>
      </c>
      <c r="W314" s="9">
        <f t="shared" si="17"/>
        <v>307</v>
      </c>
      <c r="X314">
        <f t="shared" si="18"/>
        <v>10</v>
      </c>
      <c r="Y314">
        <f t="shared" si="19"/>
        <v>0</v>
      </c>
      <c r="Z314">
        <v>313</v>
      </c>
    </row>
    <row r="315" spans="1:26" x14ac:dyDescent="0.2">
      <c r="A315" s="8">
        <v>88</v>
      </c>
      <c r="B315" s="9">
        <v>1639</v>
      </c>
      <c r="C315" s="9">
        <v>2</v>
      </c>
      <c r="D315" s="9">
        <v>2</v>
      </c>
      <c r="E315" s="9">
        <v>1</v>
      </c>
      <c r="F315" s="9">
        <v>2</v>
      </c>
      <c r="G315" t="s">
        <v>29</v>
      </c>
      <c r="H315" s="9">
        <v>4</v>
      </c>
      <c r="I315" s="9">
        <v>113</v>
      </c>
      <c r="J315" s="9">
        <v>4</v>
      </c>
      <c r="K315" s="10">
        <v>3.5398230088495497</v>
      </c>
      <c r="L315" s="10">
        <v>100</v>
      </c>
      <c r="M315" s="10">
        <v>3.3100516246583598</v>
      </c>
      <c r="N315" s="1">
        <v>2.6203358690772601E-6</v>
      </c>
      <c r="O315" s="10">
        <v>5.5816430381695303</v>
      </c>
      <c r="P315" s="14">
        <v>30.211009174311901</v>
      </c>
      <c r="Q315" s="11">
        <v>85.523012103168696</v>
      </c>
      <c r="R315" s="10">
        <v>3.03</v>
      </c>
      <c r="S315" s="10">
        <v>20.85</v>
      </c>
      <c r="T315" s="10">
        <v>1.36</v>
      </c>
      <c r="V315" s="9">
        <f t="shared" si="16"/>
        <v>149</v>
      </c>
      <c r="W315" s="9">
        <f t="shared" si="17"/>
        <v>308</v>
      </c>
      <c r="X315">
        <f t="shared" si="18"/>
        <v>10</v>
      </c>
      <c r="Y315">
        <f t="shared" si="19"/>
        <v>0</v>
      </c>
      <c r="Z315">
        <v>314</v>
      </c>
    </row>
    <row r="316" spans="1:26" x14ac:dyDescent="0.2">
      <c r="A316" s="8">
        <v>89</v>
      </c>
      <c r="B316" s="9">
        <v>667</v>
      </c>
      <c r="C316" s="9">
        <v>2</v>
      </c>
      <c r="D316" s="9">
        <v>2</v>
      </c>
      <c r="E316" s="9">
        <v>1</v>
      </c>
      <c r="F316" s="9">
        <v>1</v>
      </c>
      <c r="G316" t="s">
        <v>298</v>
      </c>
      <c r="H316" s="9">
        <v>7</v>
      </c>
      <c r="I316" s="9">
        <v>17</v>
      </c>
      <c r="J316" s="9">
        <v>140</v>
      </c>
      <c r="K316" s="10">
        <v>41.176470588235198</v>
      </c>
      <c r="L316" s="10">
        <v>5</v>
      </c>
      <c r="M316" s="10">
        <v>0.31675641431738899</v>
      </c>
      <c r="N316" s="1">
        <v>5.8396968227144196E-6</v>
      </c>
      <c r="O316" s="10">
        <v>5.2336096994012902</v>
      </c>
      <c r="P316" s="14">
        <v>15.785</v>
      </c>
      <c r="Q316" s="11">
        <v>48.551910266063402</v>
      </c>
      <c r="R316" s="10">
        <v>7.98</v>
      </c>
      <c r="S316" s="10">
        <v>21.72</v>
      </c>
      <c r="T316" s="10">
        <v>1.41</v>
      </c>
      <c r="V316" s="9">
        <f t="shared" si="16"/>
        <v>150</v>
      </c>
      <c r="W316" s="9">
        <f t="shared" si="17"/>
        <v>309</v>
      </c>
      <c r="X316">
        <f t="shared" si="18"/>
        <v>10</v>
      </c>
      <c r="Y316">
        <f t="shared" si="19"/>
        <v>0</v>
      </c>
      <c r="Z316">
        <v>315</v>
      </c>
    </row>
    <row r="317" spans="1:26" x14ac:dyDescent="0.2">
      <c r="A317" s="8">
        <v>89</v>
      </c>
      <c r="B317" s="9">
        <v>667</v>
      </c>
      <c r="C317" s="9">
        <v>2</v>
      </c>
      <c r="D317" s="9">
        <v>2</v>
      </c>
      <c r="E317" s="9">
        <v>1</v>
      </c>
      <c r="F317" s="9">
        <v>2</v>
      </c>
      <c r="G317" t="s">
        <v>86</v>
      </c>
      <c r="H317" s="9">
        <v>7</v>
      </c>
      <c r="I317" s="9">
        <v>141</v>
      </c>
      <c r="J317" s="9">
        <v>17</v>
      </c>
      <c r="K317" s="10">
        <v>4.9645390070921902</v>
      </c>
      <c r="L317" s="10">
        <v>41.176470588235198</v>
      </c>
      <c r="M317" s="10">
        <v>4.08536585365853</v>
      </c>
      <c r="N317" s="1">
        <v>6.1279086504767398E-6</v>
      </c>
      <c r="O317" s="10">
        <v>5.2126877174109501</v>
      </c>
      <c r="P317" s="14">
        <v>10.079016681299301</v>
      </c>
      <c r="Q317" s="11">
        <v>48.136819011427797</v>
      </c>
      <c r="R317" s="10">
        <v>29.51</v>
      </c>
      <c r="S317" s="10">
        <v>21.72</v>
      </c>
      <c r="T317" s="10">
        <v>1.41</v>
      </c>
      <c r="V317" s="9">
        <f t="shared" si="16"/>
        <v>150</v>
      </c>
      <c r="W317" s="9">
        <f t="shared" si="17"/>
        <v>310</v>
      </c>
      <c r="X317">
        <f t="shared" si="18"/>
        <v>10</v>
      </c>
      <c r="Y317">
        <f t="shared" si="19"/>
        <v>0</v>
      </c>
      <c r="Z317">
        <v>316</v>
      </c>
    </row>
    <row r="318" spans="1:26" x14ac:dyDescent="0.2">
      <c r="A318" s="8">
        <v>89</v>
      </c>
      <c r="B318" s="9">
        <v>2054</v>
      </c>
      <c r="C318" s="9">
        <v>2</v>
      </c>
      <c r="D318" s="9">
        <v>2</v>
      </c>
      <c r="E318" s="9">
        <v>1</v>
      </c>
      <c r="F318" s="9">
        <v>1</v>
      </c>
      <c r="G318" t="s">
        <v>231</v>
      </c>
      <c r="H318" s="9">
        <v>4</v>
      </c>
      <c r="I318" s="9">
        <v>51</v>
      </c>
      <c r="J318" s="9">
        <v>6</v>
      </c>
      <c r="K318" s="10">
        <v>7.8431372549019605</v>
      </c>
      <c r="L318" s="10">
        <v>66.6666666666666</v>
      </c>
      <c r="M318" s="10">
        <v>1.42813734427225</v>
      </c>
      <c r="N318" s="1">
        <v>1.4908707471623901E-6</v>
      </c>
      <c r="O318" s="10">
        <v>5.8265600065988901</v>
      </c>
      <c r="P318" s="14">
        <v>46.680851063829699</v>
      </c>
      <c r="Q318" s="11">
        <v>127.277402087323</v>
      </c>
      <c r="R318" s="10">
        <v>1.3</v>
      </c>
      <c r="S318" s="10">
        <v>23.96</v>
      </c>
      <c r="T318" s="10">
        <v>1.56</v>
      </c>
      <c r="V318" s="9">
        <f t="shared" si="16"/>
        <v>151</v>
      </c>
      <c r="W318" s="9">
        <f t="shared" si="17"/>
        <v>311</v>
      </c>
      <c r="X318">
        <f t="shared" si="18"/>
        <v>10</v>
      </c>
      <c r="Y318">
        <f t="shared" si="19"/>
        <v>0</v>
      </c>
      <c r="Z318">
        <v>317</v>
      </c>
    </row>
    <row r="319" spans="1:26" x14ac:dyDescent="0.2">
      <c r="A319" s="8">
        <v>89</v>
      </c>
      <c r="B319" s="9">
        <v>2054</v>
      </c>
      <c r="C319" s="9">
        <v>2</v>
      </c>
      <c r="D319" s="9">
        <v>2</v>
      </c>
      <c r="E319" s="9">
        <v>1</v>
      </c>
      <c r="F319" s="9">
        <v>2</v>
      </c>
      <c r="G319" t="s">
        <v>299</v>
      </c>
      <c r="H319" s="9">
        <v>4</v>
      </c>
      <c r="I319" s="9">
        <v>6</v>
      </c>
      <c r="J319" s="9">
        <v>50</v>
      </c>
      <c r="K319" s="10">
        <v>66.6666666666666</v>
      </c>
      <c r="L319" s="10">
        <v>8</v>
      </c>
      <c r="M319" s="10">
        <v>6.1595318755774495E-2</v>
      </c>
      <c r="N319" s="1">
        <v>1.37461483093638E-6</v>
      </c>
      <c r="O319" s="10">
        <v>5.8618189747299603</v>
      </c>
      <c r="P319" s="14">
        <v>129.88</v>
      </c>
      <c r="Q319" s="11">
        <v>129.92164322567999</v>
      </c>
      <c r="R319" s="10">
        <v>2.54</v>
      </c>
      <c r="S319" s="10">
        <v>23.96</v>
      </c>
      <c r="T319" s="10">
        <v>1.56</v>
      </c>
      <c r="V319" s="9">
        <f t="shared" si="16"/>
        <v>151</v>
      </c>
      <c r="W319" s="9">
        <f t="shared" si="17"/>
        <v>312</v>
      </c>
      <c r="X319">
        <f t="shared" si="18"/>
        <v>10</v>
      </c>
      <c r="Y319">
        <f t="shared" si="19"/>
        <v>0</v>
      </c>
      <c r="Z319">
        <v>318</v>
      </c>
    </row>
    <row r="320" spans="1:26" x14ac:dyDescent="0.2">
      <c r="A320" s="8">
        <v>90</v>
      </c>
      <c r="B320" s="9">
        <v>391</v>
      </c>
      <c r="C320" s="9">
        <v>2</v>
      </c>
      <c r="D320" s="9">
        <v>2</v>
      </c>
      <c r="E320" s="9">
        <v>1</v>
      </c>
      <c r="F320" s="9">
        <v>1</v>
      </c>
      <c r="G320" t="s">
        <v>245</v>
      </c>
      <c r="H320" s="9">
        <v>7</v>
      </c>
      <c r="I320" s="9">
        <v>100</v>
      </c>
      <c r="J320" s="9">
        <v>24</v>
      </c>
      <c r="K320" s="10">
        <v>7.0000000000000009</v>
      </c>
      <c r="L320" s="10">
        <v>29.1666666666666</v>
      </c>
      <c r="M320" s="10">
        <v>2.8414298808432599</v>
      </c>
      <c r="N320" s="1">
        <v>8.6743356768174905E-6</v>
      </c>
      <c r="O320" s="10">
        <v>5.0617637756656002</v>
      </c>
      <c r="P320" s="14">
        <v>10.2647849462365</v>
      </c>
      <c r="Q320" s="11">
        <v>47.546599473071602</v>
      </c>
      <c r="R320" s="10">
        <v>10.3</v>
      </c>
      <c r="S320" s="10">
        <v>21.57</v>
      </c>
      <c r="T320" s="10">
        <v>1.41</v>
      </c>
      <c r="V320" s="9">
        <f t="shared" si="16"/>
        <v>152</v>
      </c>
      <c r="W320" s="9">
        <f t="shared" si="17"/>
        <v>313</v>
      </c>
      <c r="X320">
        <f t="shared" si="18"/>
        <v>10</v>
      </c>
      <c r="Y320">
        <f t="shared" si="19"/>
        <v>0</v>
      </c>
      <c r="Z320">
        <v>319</v>
      </c>
    </row>
    <row r="321" spans="1:26" x14ac:dyDescent="0.2">
      <c r="A321" s="8">
        <v>90</v>
      </c>
      <c r="B321" s="9">
        <v>391</v>
      </c>
      <c r="C321" s="9">
        <v>2</v>
      </c>
      <c r="D321" s="9">
        <v>2</v>
      </c>
      <c r="E321" s="9">
        <v>1</v>
      </c>
      <c r="F321" s="9">
        <v>2</v>
      </c>
      <c r="G321" t="s">
        <v>300</v>
      </c>
      <c r="H321" s="9">
        <v>7</v>
      </c>
      <c r="I321" s="9">
        <v>24</v>
      </c>
      <c r="J321" s="9">
        <v>98</v>
      </c>
      <c r="K321" s="10">
        <v>29.1666666666666</v>
      </c>
      <c r="L321" s="10">
        <v>7.1428571428571397</v>
      </c>
      <c r="M321" s="10">
        <v>0.53141606752110004</v>
      </c>
      <c r="N321" s="1">
        <v>7.5662200359238102E-6</v>
      </c>
      <c r="O321" s="10">
        <v>5.1211210329880199</v>
      </c>
      <c r="P321" s="14">
        <v>13.4411764705882</v>
      </c>
      <c r="Q321" s="11">
        <v>48.731506455994598</v>
      </c>
      <c r="R321" s="10">
        <v>0.6</v>
      </c>
      <c r="S321" s="10">
        <v>21.57</v>
      </c>
      <c r="T321" s="10">
        <v>1.41</v>
      </c>
      <c r="V321" s="9">
        <f t="shared" si="16"/>
        <v>152</v>
      </c>
      <c r="W321" s="9">
        <f t="shared" si="17"/>
        <v>314</v>
      </c>
      <c r="X321">
        <f t="shared" si="18"/>
        <v>10</v>
      </c>
      <c r="Y321">
        <f t="shared" si="19"/>
        <v>0</v>
      </c>
      <c r="Z321">
        <v>320</v>
      </c>
    </row>
    <row r="322" spans="1:26" x14ac:dyDescent="0.2">
      <c r="A322" s="8">
        <v>90</v>
      </c>
      <c r="B322" s="9">
        <v>647</v>
      </c>
      <c r="C322" s="9">
        <v>3</v>
      </c>
      <c r="D322" s="9">
        <v>2</v>
      </c>
      <c r="E322" s="9">
        <v>2</v>
      </c>
      <c r="F322" s="9">
        <v>1</v>
      </c>
      <c r="G322" t="s">
        <v>52</v>
      </c>
      <c r="H322" s="9">
        <v>2</v>
      </c>
      <c r="I322" s="9">
        <v>35</v>
      </c>
      <c r="J322" s="9">
        <v>10</v>
      </c>
      <c r="K322" s="10">
        <v>5.71428571428571</v>
      </c>
      <c r="L322" s="10">
        <v>20</v>
      </c>
      <c r="M322" s="10">
        <v>1.00395497414055</v>
      </c>
      <c r="N322" s="1">
        <v>9.3423999361823603E-3</v>
      </c>
      <c r="O322" s="10">
        <v>2.0295415450594398</v>
      </c>
      <c r="P322" s="14">
        <v>19.9212121212121</v>
      </c>
      <c r="Q322" s="11">
        <v>18.553796243100901</v>
      </c>
      <c r="R322" s="10">
        <v>31.1</v>
      </c>
      <c r="S322" s="10">
        <v>23.87</v>
      </c>
      <c r="T322" s="10">
        <v>1.55</v>
      </c>
      <c r="V322" s="9">
        <f t="shared" si="16"/>
        <v>153</v>
      </c>
      <c r="W322" s="9">
        <f t="shared" si="17"/>
        <v>315</v>
      </c>
      <c r="X322">
        <f t="shared" si="18"/>
        <v>10</v>
      </c>
      <c r="Y322">
        <f t="shared" si="19"/>
        <v>0</v>
      </c>
      <c r="Z322">
        <v>321</v>
      </c>
    </row>
    <row r="323" spans="1:26" x14ac:dyDescent="0.2">
      <c r="A323" s="8">
        <v>90</v>
      </c>
      <c r="B323" s="9">
        <v>647</v>
      </c>
      <c r="C323" s="9">
        <v>3</v>
      </c>
      <c r="D323" s="9">
        <v>2</v>
      </c>
      <c r="E323" s="9">
        <v>2</v>
      </c>
      <c r="F323" s="9">
        <v>1</v>
      </c>
      <c r="G323" t="s">
        <v>301</v>
      </c>
      <c r="H323" s="9">
        <v>3</v>
      </c>
      <c r="I323" s="9">
        <v>5</v>
      </c>
      <c r="J323" s="9">
        <v>10</v>
      </c>
      <c r="K323" s="10">
        <v>60</v>
      </c>
      <c r="L323" s="10">
        <v>30</v>
      </c>
      <c r="M323" s="10">
        <v>6.0845756008518402E-2</v>
      </c>
      <c r="N323" s="1">
        <v>4.0088089650248699E-7</v>
      </c>
      <c r="O323" s="10">
        <v>6.3969846390381599</v>
      </c>
      <c r="P323" s="14">
        <v>493.05</v>
      </c>
      <c r="Q323" s="11">
        <v>408.99906228086098</v>
      </c>
      <c r="R323" s="10">
        <v>8.1</v>
      </c>
      <c r="S323" s="10">
        <v>23.87</v>
      </c>
      <c r="T323" s="10">
        <v>1.55</v>
      </c>
      <c r="V323" s="9">
        <f t="shared" ref="V323:V363" si="20">IF(B323&lt;&gt;B322,V322+1,V322)</f>
        <v>153</v>
      </c>
      <c r="W323" s="9">
        <f t="shared" ref="W323:W363" si="21">IF(F323&lt;&gt;F322,W322+1,W322)</f>
        <v>315</v>
      </c>
      <c r="X323">
        <f t="shared" si="18"/>
        <v>10</v>
      </c>
      <c r="Y323">
        <f t="shared" si="19"/>
        <v>0</v>
      </c>
      <c r="Z323">
        <v>322</v>
      </c>
    </row>
    <row r="324" spans="1:26" x14ac:dyDescent="0.2">
      <c r="A324" s="8">
        <v>90</v>
      </c>
      <c r="B324" s="9">
        <v>647</v>
      </c>
      <c r="C324" s="9">
        <v>3</v>
      </c>
      <c r="D324" s="9">
        <v>2</v>
      </c>
      <c r="E324" s="9">
        <v>1</v>
      </c>
      <c r="F324" s="9">
        <v>2</v>
      </c>
      <c r="G324" t="s">
        <v>302</v>
      </c>
      <c r="H324" s="9">
        <v>4</v>
      </c>
      <c r="I324" s="9">
        <v>10</v>
      </c>
      <c r="J324" s="9">
        <v>39</v>
      </c>
      <c r="K324" s="10">
        <v>40</v>
      </c>
      <c r="L324" s="10">
        <v>10.2564102564102</v>
      </c>
      <c r="M324" s="10">
        <v>0.18416206261510099</v>
      </c>
      <c r="N324" s="1">
        <v>6.6783812658246099E-6</v>
      </c>
      <c r="O324" s="10">
        <v>5.17532879089452</v>
      </c>
      <c r="P324" s="14">
        <v>55.692307692307601</v>
      </c>
      <c r="Q324" s="11">
        <v>98.132833698761203</v>
      </c>
      <c r="R324" s="10">
        <v>2.39</v>
      </c>
      <c r="S324" s="10">
        <v>23.87</v>
      </c>
      <c r="T324" s="10">
        <v>1.55</v>
      </c>
      <c r="V324" s="9">
        <f t="shared" si="20"/>
        <v>153</v>
      </c>
      <c r="W324" s="9">
        <f t="shared" si="21"/>
        <v>316</v>
      </c>
      <c r="X324">
        <f t="shared" ref="X324:X363" si="22">IF(AND(B324&lt;&gt;B323,D323&gt;2),X323+1,X323)</f>
        <v>10</v>
      </c>
      <c r="Y324">
        <f t="shared" ref="Y324:Y363" si="23">IF(AND(B324&lt;&gt;B323,D323&gt;3),Y323+1,Y323)</f>
        <v>0</v>
      </c>
      <c r="Z324">
        <v>323</v>
      </c>
    </row>
    <row r="325" spans="1:26" x14ac:dyDescent="0.2">
      <c r="A325" s="8">
        <v>90</v>
      </c>
      <c r="B325" s="9">
        <v>1595</v>
      </c>
      <c r="C325" s="9">
        <v>2</v>
      </c>
      <c r="D325" s="9">
        <v>2</v>
      </c>
      <c r="E325" s="9">
        <v>1</v>
      </c>
      <c r="F325" s="9">
        <v>1</v>
      </c>
      <c r="G325" t="s">
        <v>303</v>
      </c>
      <c r="H325" s="9">
        <v>4</v>
      </c>
      <c r="I325" s="9">
        <v>36</v>
      </c>
      <c r="J325" s="9">
        <v>10</v>
      </c>
      <c r="K325" s="10">
        <v>11.1111111111111</v>
      </c>
      <c r="L325" s="10">
        <v>40</v>
      </c>
      <c r="M325" s="10">
        <v>0.97353209613629388</v>
      </c>
      <c r="N325" s="1">
        <v>4.80390928104797E-6</v>
      </c>
      <c r="O325" s="10">
        <v>5.3184052025830901</v>
      </c>
      <c r="P325" s="14">
        <v>41.087499999999999</v>
      </c>
      <c r="Q325" s="11">
        <v>106.78511115510599</v>
      </c>
      <c r="R325" s="10">
        <v>8.98</v>
      </c>
      <c r="S325" s="10">
        <v>27.46</v>
      </c>
      <c r="T325" s="10">
        <v>1.79</v>
      </c>
      <c r="V325" s="9">
        <f t="shared" si="20"/>
        <v>154</v>
      </c>
      <c r="W325" s="9">
        <f t="shared" si="21"/>
        <v>317</v>
      </c>
      <c r="X325">
        <f t="shared" si="22"/>
        <v>10</v>
      </c>
      <c r="Y325">
        <f t="shared" si="23"/>
        <v>0</v>
      </c>
      <c r="Z325">
        <v>324</v>
      </c>
    </row>
    <row r="326" spans="1:26" x14ac:dyDescent="0.2">
      <c r="A326" s="8">
        <v>90</v>
      </c>
      <c r="B326" s="9">
        <v>1595</v>
      </c>
      <c r="C326" s="9">
        <v>2</v>
      </c>
      <c r="D326" s="9">
        <v>2</v>
      </c>
      <c r="E326" s="9">
        <v>1</v>
      </c>
      <c r="F326" s="9">
        <v>2</v>
      </c>
      <c r="G326" t="s">
        <v>304</v>
      </c>
      <c r="H326" s="9">
        <v>4</v>
      </c>
      <c r="I326" s="9">
        <v>10</v>
      </c>
      <c r="J326" s="9">
        <v>35</v>
      </c>
      <c r="K326" s="10">
        <v>40</v>
      </c>
      <c r="L326" s="10">
        <v>11.4285714285714</v>
      </c>
      <c r="M326" s="10">
        <v>0.183936235438381</v>
      </c>
      <c r="N326" s="1">
        <v>4.2764122819355803E-6</v>
      </c>
      <c r="O326" s="10">
        <v>5.3689204318219304</v>
      </c>
      <c r="P326" s="14">
        <v>62.133333333333297</v>
      </c>
      <c r="Q326" s="11">
        <v>109.998966121579</v>
      </c>
      <c r="R326" s="10">
        <v>0.42</v>
      </c>
      <c r="S326" s="10">
        <v>27.46</v>
      </c>
      <c r="T326" s="10">
        <v>1.79</v>
      </c>
      <c r="V326" s="9">
        <f t="shared" si="20"/>
        <v>154</v>
      </c>
      <c r="W326" s="9">
        <f t="shared" si="21"/>
        <v>318</v>
      </c>
      <c r="X326">
        <f t="shared" si="22"/>
        <v>10</v>
      </c>
      <c r="Y326">
        <f t="shared" si="23"/>
        <v>0</v>
      </c>
      <c r="Z326">
        <v>325</v>
      </c>
    </row>
    <row r="327" spans="1:26" x14ac:dyDescent="0.2">
      <c r="A327" s="8">
        <v>91</v>
      </c>
      <c r="B327" s="9">
        <v>329</v>
      </c>
      <c r="C327" s="9">
        <v>2</v>
      </c>
      <c r="D327" s="9">
        <v>2</v>
      </c>
      <c r="E327" s="9">
        <v>1</v>
      </c>
      <c r="F327" s="9">
        <v>1</v>
      </c>
      <c r="G327" t="s">
        <v>257</v>
      </c>
      <c r="H327" s="9">
        <v>5</v>
      </c>
      <c r="I327" s="9">
        <v>24</v>
      </c>
      <c r="J327" s="9">
        <v>25</v>
      </c>
      <c r="K327" s="10">
        <v>20.8333333333333</v>
      </c>
      <c r="L327" s="10">
        <v>20</v>
      </c>
      <c r="M327" s="10">
        <v>0.58068459657701699</v>
      </c>
      <c r="N327" s="1">
        <v>1.2670067512256E-6</v>
      </c>
      <c r="O327" s="10">
        <v>5.8972210709790502</v>
      </c>
      <c r="P327" s="14">
        <v>34.442105263157899</v>
      </c>
      <c r="Q327" s="11">
        <v>103.995575202773</v>
      </c>
      <c r="R327" s="10">
        <v>5.3</v>
      </c>
      <c r="S327" s="10">
        <v>20.12</v>
      </c>
      <c r="T327" s="10">
        <v>1.31</v>
      </c>
      <c r="V327" s="9">
        <f t="shared" si="20"/>
        <v>155</v>
      </c>
      <c r="W327" s="9">
        <f t="shared" si="21"/>
        <v>319</v>
      </c>
      <c r="X327">
        <f t="shared" si="22"/>
        <v>10</v>
      </c>
      <c r="Y327">
        <f t="shared" si="23"/>
        <v>0</v>
      </c>
      <c r="Z327">
        <v>326</v>
      </c>
    </row>
    <row r="328" spans="1:26" x14ac:dyDescent="0.2">
      <c r="A328" s="8">
        <v>91</v>
      </c>
      <c r="B328" s="9">
        <v>329</v>
      </c>
      <c r="C328" s="9">
        <v>2</v>
      </c>
      <c r="D328" s="9">
        <v>2</v>
      </c>
      <c r="E328" s="9">
        <v>1</v>
      </c>
      <c r="F328" s="9">
        <v>2</v>
      </c>
      <c r="G328" t="s">
        <v>305</v>
      </c>
      <c r="H328" s="9">
        <v>5</v>
      </c>
      <c r="I328" s="9">
        <v>26</v>
      </c>
      <c r="J328" s="9">
        <v>23</v>
      </c>
      <c r="K328" s="10">
        <v>19.230769230769202</v>
      </c>
      <c r="L328" s="10">
        <v>21.739130434782599</v>
      </c>
      <c r="M328" s="10">
        <v>0.64141722663408596</v>
      </c>
      <c r="N328" s="1">
        <v>1.24249797161077E-6</v>
      </c>
      <c r="O328" s="10">
        <v>5.9057043115837304</v>
      </c>
      <c r="P328" s="14">
        <v>33.892339544513398</v>
      </c>
      <c r="Q328" s="11">
        <v>104.372725188215</v>
      </c>
      <c r="R328" s="10">
        <v>1.17</v>
      </c>
      <c r="S328" s="10">
        <v>20.12</v>
      </c>
      <c r="T328" s="10">
        <v>1.31</v>
      </c>
      <c r="V328" s="9">
        <f t="shared" si="20"/>
        <v>155</v>
      </c>
      <c r="W328" s="9">
        <f t="shared" si="21"/>
        <v>320</v>
      </c>
      <c r="X328">
        <f t="shared" si="22"/>
        <v>10</v>
      </c>
      <c r="Y328">
        <f t="shared" si="23"/>
        <v>0</v>
      </c>
      <c r="Z328">
        <v>327</v>
      </c>
    </row>
    <row r="329" spans="1:26" x14ac:dyDescent="0.2">
      <c r="A329" s="8">
        <v>91</v>
      </c>
      <c r="B329" s="9">
        <v>1444</v>
      </c>
      <c r="C329" s="9">
        <v>3</v>
      </c>
      <c r="D329" s="9">
        <v>3</v>
      </c>
      <c r="E329" s="9">
        <v>1</v>
      </c>
      <c r="F329" s="9">
        <v>1</v>
      </c>
      <c r="G329" t="s">
        <v>306</v>
      </c>
      <c r="H329" s="9">
        <v>2</v>
      </c>
      <c r="I329" s="9">
        <v>6</v>
      </c>
      <c r="J329" s="9">
        <v>2</v>
      </c>
      <c r="K329" s="10">
        <v>33.3333333333333</v>
      </c>
      <c r="L329" s="10">
        <v>100</v>
      </c>
      <c r="M329" s="10">
        <v>0.121396054628224</v>
      </c>
      <c r="N329" s="1">
        <v>5.5213477388976704E-6</v>
      </c>
      <c r="O329" s="10">
        <v>5.25795489978458</v>
      </c>
      <c r="P329" s="14">
        <v>823.75</v>
      </c>
      <c r="Q329" s="11">
        <v>616.68681756217404</v>
      </c>
      <c r="R329" s="10">
        <v>0.3</v>
      </c>
      <c r="S329" s="10">
        <v>57</v>
      </c>
      <c r="T329" s="10">
        <v>3.71</v>
      </c>
      <c r="V329" s="9">
        <f t="shared" si="20"/>
        <v>156</v>
      </c>
      <c r="W329" s="9">
        <f t="shared" si="21"/>
        <v>321</v>
      </c>
      <c r="X329">
        <f t="shared" si="22"/>
        <v>10</v>
      </c>
      <c r="Y329">
        <f t="shared" si="23"/>
        <v>0</v>
      </c>
      <c r="Z329">
        <v>328</v>
      </c>
    </row>
    <row r="330" spans="1:26" x14ac:dyDescent="0.2">
      <c r="A330" s="8">
        <v>91</v>
      </c>
      <c r="B330" s="9">
        <v>1444</v>
      </c>
      <c r="C330" s="9">
        <v>3</v>
      </c>
      <c r="D330" s="9">
        <v>3</v>
      </c>
      <c r="E330" s="9">
        <v>1</v>
      </c>
      <c r="F330" s="9">
        <v>2</v>
      </c>
      <c r="G330" t="s">
        <v>307</v>
      </c>
      <c r="H330" s="9">
        <v>2</v>
      </c>
      <c r="I330" s="9">
        <v>2</v>
      </c>
      <c r="J330" s="9">
        <v>6</v>
      </c>
      <c r="K330" s="10">
        <v>100</v>
      </c>
      <c r="L330" s="10">
        <v>33.3333333333333</v>
      </c>
      <c r="M330" s="10">
        <v>0</v>
      </c>
      <c r="N330" s="1">
        <v>5.5213477388976704E-6</v>
      </c>
      <c r="O330" s="10">
        <v>5.25795489978458</v>
      </c>
      <c r="P330" s="14" t="s">
        <v>194</v>
      </c>
      <c r="Q330" s="11">
        <v>616.68681756217404</v>
      </c>
      <c r="R330" s="10">
        <v>5.21</v>
      </c>
      <c r="S330" s="10">
        <v>57</v>
      </c>
      <c r="T330" s="10">
        <v>3.71</v>
      </c>
      <c r="V330" s="9">
        <f t="shared" si="20"/>
        <v>156</v>
      </c>
      <c r="W330" s="9">
        <f t="shared" si="21"/>
        <v>322</v>
      </c>
      <c r="X330">
        <f t="shared" si="22"/>
        <v>10</v>
      </c>
      <c r="Y330">
        <f t="shared" si="23"/>
        <v>0</v>
      </c>
      <c r="Z330">
        <v>329</v>
      </c>
    </row>
    <row r="331" spans="1:26" x14ac:dyDescent="0.2">
      <c r="A331" s="8">
        <v>91</v>
      </c>
      <c r="B331" s="9">
        <v>1444</v>
      </c>
      <c r="C331" s="9">
        <v>3</v>
      </c>
      <c r="D331" s="9">
        <v>3</v>
      </c>
      <c r="E331" s="9">
        <v>1</v>
      </c>
      <c r="F331" s="9">
        <v>3</v>
      </c>
      <c r="G331" t="s">
        <v>308</v>
      </c>
      <c r="H331" s="9">
        <v>2</v>
      </c>
      <c r="I331" s="9">
        <v>2</v>
      </c>
      <c r="J331" s="9">
        <v>6</v>
      </c>
      <c r="K331" s="10">
        <v>100</v>
      </c>
      <c r="L331" s="10">
        <v>33.3333333333333</v>
      </c>
      <c r="M331" s="10">
        <v>0</v>
      </c>
      <c r="N331" s="1">
        <v>5.5213477388976704E-6</v>
      </c>
      <c r="O331" s="10">
        <v>5.25795489978458</v>
      </c>
      <c r="P331" s="14" t="s">
        <v>194</v>
      </c>
      <c r="Q331" s="11">
        <v>616.68681756217404</v>
      </c>
      <c r="R331" s="10">
        <v>0.46</v>
      </c>
      <c r="S331" s="10">
        <v>57</v>
      </c>
      <c r="T331" s="10">
        <v>3.71</v>
      </c>
      <c r="V331" s="9">
        <f t="shared" si="20"/>
        <v>156</v>
      </c>
      <c r="W331" s="9">
        <f t="shared" si="21"/>
        <v>323</v>
      </c>
      <c r="X331">
        <f t="shared" si="22"/>
        <v>10</v>
      </c>
      <c r="Y331">
        <f t="shared" si="23"/>
        <v>0</v>
      </c>
      <c r="Z331">
        <v>330</v>
      </c>
    </row>
    <row r="332" spans="1:26" x14ac:dyDescent="0.2">
      <c r="A332" s="8">
        <v>92</v>
      </c>
      <c r="B332" s="9">
        <v>588</v>
      </c>
      <c r="C332" s="9">
        <v>2</v>
      </c>
      <c r="D332" s="9">
        <v>2</v>
      </c>
      <c r="E332" s="9">
        <v>1</v>
      </c>
      <c r="F332" s="9">
        <v>1</v>
      </c>
      <c r="G332" t="s">
        <v>298</v>
      </c>
      <c r="H332" s="9">
        <v>5</v>
      </c>
      <c r="I332" s="9">
        <v>17</v>
      </c>
      <c r="J332" s="9">
        <v>42</v>
      </c>
      <c r="K332" s="10">
        <v>29.411764705882298</v>
      </c>
      <c r="L332" s="10">
        <v>11.9047619047619</v>
      </c>
      <c r="M332" s="10">
        <v>0.36866359447004599</v>
      </c>
      <c r="N332" s="1">
        <v>2.9054017853126701E-6</v>
      </c>
      <c r="O332" s="10">
        <v>5.5367938009402904</v>
      </c>
      <c r="P332" s="14">
        <v>32.2916666666666</v>
      </c>
      <c r="Q332" s="11">
        <v>86.261909117994094</v>
      </c>
      <c r="R332" s="10">
        <v>7.98</v>
      </c>
      <c r="S332" s="10">
        <v>24.26</v>
      </c>
      <c r="T332" s="10">
        <v>1.58</v>
      </c>
      <c r="V332" s="9">
        <f t="shared" si="20"/>
        <v>157</v>
      </c>
      <c r="W332" s="9">
        <f t="shared" si="21"/>
        <v>324</v>
      </c>
      <c r="X332">
        <f t="shared" si="22"/>
        <v>11</v>
      </c>
      <c r="Y332">
        <f t="shared" si="23"/>
        <v>0</v>
      </c>
      <c r="Z332">
        <v>331</v>
      </c>
    </row>
    <row r="333" spans="1:26" x14ac:dyDescent="0.2">
      <c r="A333" s="8">
        <v>92</v>
      </c>
      <c r="B333" s="9">
        <v>588</v>
      </c>
      <c r="C333" s="9">
        <v>2</v>
      </c>
      <c r="D333" s="9">
        <v>2</v>
      </c>
      <c r="E333" s="9">
        <v>1</v>
      </c>
      <c r="F333" s="9">
        <v>2</v>
      </c>
      <c r="G333" t="s">
        <v>309</v>
      </c>
      <c r="H333" s="9">
        <v>5</v>
      </c>
      <c r="I333" s="9">
        <v>42</v>
      </c>
      <c r="J333" s="9">
        <v>17</v>
      </c>
      <c r="K333" s="10">
        <v>11.9047619047619</v>
      </c>
      <c r="L333" s="10">
        <v>29.411764705882298</v>
      </c>
      <c r="M333" s="10">
        <v>1.1280487804877999</v>
      </c>
      <c r="N333" s="1">
        <v>2.9054017853126701E-6</v>
      </c>
      <c r="O333" s="10">
        <v>5.5367938009402904</v>
      </c>
      <c r="P333" s="14">
        <v>26.0731319554849</v>
      </c>
      <c r="Q333" s="11">
        <v>86.261909117994094</v>
      </c>
      <c r="R333" s="10" t="s">
        <v>57</v>
      </c>
      <c r="S333" s="10">
        <v>24.26</v>
      </c>
      <c r="T333" s="10">
        <v>1.58</v>
      </c>
      <c r="V333" s="9">
        <f t="shared" si="20"/>
        <v>157</v>
      </c>
      <c r="W333" s="9">
        <f t="shared" si="21"/>
        <v>325</v>
      </c>
      <c r="X333">
        <f t="shared" si="22"/>
        <v>11</v>
      </c>
      <c r="Y333">
        <f t="shared" si="23"/>
        <v>0</v>
      </c>
      <c r="Z333">
        <v>332</v>
      </c>
    </row>
    <row r="334" spans="1:26" x14ac:dyDescent="0.2">
      <c r="A334" s="8">
        <v>92</v>
      </c>
      <c r="B334" s="9">
        <v>779</v>
      </c>
      <c r="C334" s="9">
        <v>3</v>
      </c>
      <c r="D334" s="9">
        <v>2</v>
      </c>
      <c r="E334" s="9">
        <v>2</v>
      </c>
      <c r="F334" s="9">
        <v>1</v>
      </c>
      <c r="G334" t="s">
        <v>156</v>
      </c>
      <c r="H334" s="9">
        <v>15</v>
      </c>
      <c r="I334" s="9">
        <v>135</v>
      </c>
      <c r="J334" s="9">
        <v>95</v>
      </c>
      <c r="K334" s="10">
        <v>11.1111111111111</v>
      </c>
      <c r="L334" s="10">
        <v>15.789473684210501</v>
      </c>
      <c r="M334" s="10">
        <v>3.7476577139287897</v>
      </c>
      <c r="N334" s="1">
        <v>9.3813840254385196E-6</v>
      </c>
      <c r="O334" s="10">
        <v>5.0277330858991096</v>
      </c>
      <c r="P334" s="14">
        <v>4.21315789473684</v>
      </c>
      <c r="Q334" s="11">
        <v>31.071000373832099</v>
      </c>
      <c r="R334" s="10">
        <v>48.03</v>
      </c>
      <c r="S334" s="10">
        <v>21.75</v>
      </c>
      <c r="T334" s="10">
        <v>1.42</v>
      </c>
      <c r="V334" s="9">
        <f t="shared" si="20"/>
        <v>158</v>
      </c>
      <c r="W334" s="9">
        <f t="shared" si="21"/>
        <v>326</v>
      </c>
      <c r="X334">
        <f t="shared" si="22"/>
        <v>11</v>
      </c>
      <c r="Y334">
        <f t="shared" si="23"/>
        <v>0</v>
      </c>
      <c r="Z334">
        <v>333</v>
      </c>
    </row>
    <row r="335" spans="1:26" x14ac:dyDescent="0.2">
      <c r="A335" s="8">
        <v>92</v>
      </c>
      <c r="B335" s="9">
        <v>779</v>
      </c>
      <c r="C335" s="9">
        <v>3</v>
      </c>
      <c r="D335" s="9">
        <v>2</v>
      </c>
      <c r="E335" s="9">
        <v>2</v>
      </c>
      <c r="F335" s="9">
        <v>1</v>
      </c>
      <c r="G335" t="s">
        <v>286</v>
      </c>
      <c r="H335" s="9">
        <v>4</v>
      </c>
      <c r="I335" s="9">
        <v>20</v>
      </c>
      <c r="J335" s="9">
        <v>95</v>
      </c>
      <c r="K335" s="10">
        <v>20</v>
      </c>
      <c r="L335" s="10">
        <v>4.2105263157894699</v>
      </c>
      <c r="M335" s="10">
        <v>0.49968769519050504</v>
      </c>
      <c r="N335" s="1">
        <v>4.3980816082258697E-3</v>
      </c>
      <c r="O335" s="10">
        <v>2.3567367163864699</v>
      </c>
      <c r="P335" s="14">
        <v>8.42631578947368</v>
      </c>
      <c r="Q335" s="11">
        <v>15.3665577543624</v>
      </c>
      <c r="R335" s="10">
        <v>27.07</v>
      </c>
      <c r="S335" s="10">
        <v>21.75</v>
      </c>
      <c r="T335" s="10">
        <v>1.42</v>
      </c>
      <c r="V335" s="9">
        <f t="shared" si="20"/>
        <v>158</v>
      </c>
      <c r="W335" s="9">
        <f t="shared" si="21"/>
        <v>326</v>
      </c>
      <c r="X335">
        <f t="shared" si="22"/>
        <v>11</v>
      </c>
      <c r="Y335">
        <f t="shared" si="23"/>
        <v>0</v>
      </c>
      <c r="Z335">
        <v>334</v>
      </c>
    </row>
    <row r="336" spans="1:26" x14ac:dyDescent="0.2">
      <c r="A336" s="8">
        <v>92</v>
      </c>
      <c r="B336" s="9">
        <v>779</v>
      </c>
      <c r="C336" s="9">
        <v>3</v>
      </c>
      <c r="D336" s="9">
        <v>2</v>
      </c>
      <c r="E336" s="9">
        <v>1</v>
      </c>
      <c r="F336" s="9">
        <v>2</v>
      </c>
      <c r="G336" t="s">
        <v>151</v>
      </c>
      <c r="H336" s="9">
        <v>18</v>
      </c>
      <c r="I336" s="9">
        <v>94</v>
      </c>
      <c r="J336" s="9">
        <v>174</v>
      </c>
      <c r="K336" s="10">
        <v>19.1489361702127</v>
      </c>
      <c r="L336" s="10">
        <v>10.344827586206801</v>
      </c>
      <c r="M336" s="10">
        <v>2.4335574767851398</v>
      </c>
      <c r="N336" s="1">
        <v>2.2583901544326902E-6</v>
      </c>
      <c r="O336" s="10">
        <v>5.6462010281859998</v>
      </c>
      <c r="P336" s="14">
        <v>4.2509074410163299</v>
      </c>
      <c r="Q336" s="11">
        <v>34.441763691070797</v>
      </c>
      <c r="R336" s="10">
        <v>5.94</v>
      </c>
      <c r="S336" s="10">
        <v>21.75</v>
      </c>
      <c r="T336" s="10">
        <v>1.42</v>
      </c>
      <c r="V336" s="9">
        <f t="shared" si="20"/>
        <v>158</v>
      </c>
      <c r="W336" s="9">
        <f t="shared" si="21"/>
        <v>327</v>
      </c>
      <c r="X336">
        <f t="shared" si="22"/>
        <v>11</v>
      </c>
      <c r="Y336">
        <f t="shared" si="23"/>
        <v>0</v>
      </c>
      <c r="Z336">
        <v>335</v>
      </c>
    </row>
    <row r="337" spans="1:26" x14ac:dyDescent="0.2">
      <c r="A337" s="8">
        <v>94</v>
      </c>
      <c r="B337" s="9">
        <v>737</v>
      </c>
      <c r="C337" s="9">
        <v>2</v>
      </c>
      <c r="D337" s="9">
        <v>2</v>
      </c>
      <c r="E337" s="9">
        <v>1</v>
      </c>
      <c r="F337" s="9">
        <v>1</v>
      </c>
      <c r="G337" t="s">
        <v>28</v>
      </c>
      <c r="H337" s="9">
        <v>4</v>
      </c>
      <c r="I337" s="9">
        <v>53</v>
      </c>
      <c r="J337" s="9">
        <v>8</v>
      </c>
      <c r="K337" s="10">
        <v>7.5471698113207504</v>
      </c>
      <c r="L337" s="10">
        <v>50</v>
      </c>
      <c r="M337" s="10">
        <v>1.4898145332927901</v>
      </c>
      <c r="N337" s="1">
        <v>7.9518217372020303E-6</v>
      </c>
      <c r="O337" s="10">
        <v>5.0995333644529497</v>
      </c>
      <c r="P337" s="14">
        <v>33.561224489795897</v>
      </c>
      <c r="Q337" s="11">
        <v>90.046404742454897</v>
      </c>
      <c r="R337" s="10">
        <v>1.51</v>
      </c>
      <c r="S337" s="10">
        <v>22.42</v>
      </c>
      <c r="T337" s="10">
        <v>1.46</v>
      </c>
      <c r="V337" s="9">
        <f t="shared" si="20"/>
        <v>159</v>
      </c>
      <c r="W337" s="9">
        <f t="shared" si="21"/>
        <v>328</v>
      </c>
      <c r="X337">
        <f t="shared" si="22"/>
        <v>11</v>
      </c>
      <c r="Y337">
        <f t="shared" si="23"/>
        <v>0</v>
      </c>
      <c r="Z337">
        <v>336</v>
      </c>
    </row>
    <row r="338" spans="1:26" x14ac:dyDescent="0.2">
      <c r="A338" s="8">
        <v>94</v>
      </c>
      <c r="B338" s="9">
        <v>737</v>
      </c>
      <c r="C338" s="9">
        <v>2</v>
      </c>
      <c r="D338" s="9">
        <v>2</v>
      </c>
      <c r="E338" s="9">
        <v>1</v>
      </c>
      <c r="F338" s="9">
        <v>2</v>
      </c>
      <c r="G338" t="s">
        <v>310</v>
      </c>
      <c r="H338" s="9">
        <v>4</v>
      </c>
      <c r="I338" s="9">
        <v>8</v>
      </c>
      <c r="J338" s="9">
        <v>53</v>
      </c>
      <c r="K338" s="10">
        <v>50</v>
      </c>
      <c r="L338" s="10">
        <v>7.5471698113207504</v>
      </c>
      <c r="M338" s="10">
        <v>0.12330456226880299</v>
      </c>
      <c r="N338" s="1">
        <v>7.9518217372020405E-6</v>
      </c>
      <c r="O338" s="10">
        <v>5.0995333644529497</v>
      </c>
      <c r="P338" s="14">
        <v>61.207547169811299</v>
      </c>
      <c r="Q338" s="11">
        <v>90.046404742454897</v>
      </c>
      <c r="R338" s="10">
        <v>1.47</v>
      </c>
      <c r="S338" s="10">
        <v>22.42</v>
      </c>
      <c r="T338" s="10">
        <v>1.46</v>
      </c>
      <c r="V338" s="9">
        <f t="shared" si="20"/>
        <v>159</v>
      </c>
      <c r="W338" s="9">
        <f t="shared" si="21"/>
        <v>329</v>
      </c>
      <c r="X338">
        <f t="shared" si="22"/>
        <v>11</v>
      </c>
      <c r="Y338">
        <f t="shared" si="23"/>
        <v>0</v>
      </c>
      <c r="Z338">
        <v>337</v>
      </c>
    </row>
    <row r="339" spans="1:26" x14ac:dyDescent="0.2">
      <c r="A339" s="8">
        <v>94</v>
      </c>
      <c r="B339" s="9">
        <v>1199</v>
      </c>
      <c r="C339" s="9">
        <v>2</v>
      </c>
      <c r="D339" s="9">
        <v>2</v>
      </c>
      <c r="E339" s="9">
        <v>1</v>
      </c>
      <c r="F339" s="9">
        <v>1</v>
      </c>
      <c r="G339" t="s">
        <v>311</v>
      </c>
      <c r="H339" s="9">
        <v>13</v>
      </c>
      <c r="I339" s="9">
        <v>171</v>
      </c>
      <c r="J339" s="9">
        <v>49</v>
      </c>
      <c r="K339" s="10">
        <v>7.6023391812865393</v>
      </c>
      <c r="L339" s="10">
        <v>26.530612244897899</v>
      </c>
      <c r="M339" s="10">
        <v>4.8645320197044306</v>
      </c>
      <c r="N339" s="1">
        <v>1.27648134954157E-6</v>
      </c>
      <c r="O339" s="10">
        <v>5.8939855262184002</v>
      </c>
      <c r="P339" s="14">
        <v>5.4538878842676297</v>
      </c>
      <c r="Q339" s="11">
        <v>41.778815524948499</v>
      </c>
      <c r="R339" s="10">
        <v>5.52</v>
      </c>
      <c r="S339" s="10">
        <v>21.27</v>
      </c>
      <c r="T339" s="10">
        <v>1.39</v>
      </c>
      <c r="V339" s="9">
        <f t="shared" si="20"/>
        <v>160</v>
      </c>
      <c r="W339" s="9">
        <f t="shared" si="21"/>
        <v>330</v>
      </c>
      <c r="X339">
        <f t="shared" si="22"/>
        <v>11</v>
      </c>
      <c r="Y339">
        <f t="shared" si="23"/>
        <v>0</v>
      </c>
      <c r="Z339">
        <v>338</v>
      </c>
    </row>
    <row r="340" spans="1:26" x14ac:dyDescent="0.2">
      <c r="A340" s="8">
        <v>94</v>
      </c>
      <c r="B340" s="9">
        <v>1199</v>
      </c>
      <c r="C340" s="9">
        <v>2</v>
      </c>
      <c r="D340" s="9">
        <v>2</v>
      </c>
      <c r="E340" s="9">
        <v>1</v>
      </c>
      <c r="F340" s="9">
        <v>2</v>
      </c>
      <c r="G340" t="s">
        <v>312</v>
      </c>
      <c r="H340" s="9">
        <v>13</v>
      </c>
      <c r="I340" s="9">
        <v>49</v>
      </c>
      <c r="J340" s="9">
        <v>172</v>
      </c>
      <c r="K340" s="10">
        <v>26.530612244897899</v>
      </c>
      <c r="L340" s="10">
        <v>7.5581395348837201</v>
      </c>
      <c r="M340" s="10">
        <v>1.1520000000000001</v>
      </c>
      <c r="N340" s="1">
        <v>1.36627850328515E-6</v>
      </c>
      <c r="O340" s="10">
        <v>5.86446076470164</v>
      </c>
      <c r="P340" s="14">
        <v>6.5608850129198899</v>
      </c>
      <c r="Q340" s="11">
        <v>41.425285203488301</v>
      </c>
      <c r="R340" s="10">
        <v>1.06</v>
      </c>
      <c r="S340" s="10">
        <v>21.27</v>
      </c>
      <c r="T340" s="10">
        <v>1.39</v>
      </c>
      <c r="V340" s="9">
        <f t="shared" si="20"/>
        <v>160</v>
      </c>
      <c r="W340" s="9">
        <f t="shared" si="21"/>
        <v>331</v>
      </c>
      <c r="X340">
        <f t="shared" si="22"/>
        <v>11</v>
      </c>
      <c r="Y340">
        <f t="shared" si="23"/>
        <v>0</v>
      </c>
      <c r="Z340">
        <v>339</v>
      </c>
    </row>
    <row r="341" spans="1:26" x14ac:dyDescent="0.2">
      <c r="A341" s="8">
        <v>95</v>
      </c>
      <c r="B341" s="9">
        <v>3419</v>
      </c>
      <c r="C341" s="9">
        <v>2</v>
      </c>
      <c r="D341" s="9">
        <v>2</v>
      </c>
      <c r="E341" s="9">
        <v>1</v>
      </c>
      <c r="F341" s="9">
        <v>1</v>
      </c>
      <c r="G341" t="s">
        <v>313</v>
      </c>
      <c r="H341" s="9">
        <v>4</v>
      </c>
      <c r="I341" s="9">
        <v>14</v>
      </c>
      <c r="J341" s="9">
        <v>28</v>
      </c>
      <c r="K341" s="10">
        <v>28.571428571428498</v>
      </c>
      <c r="L341" s="10">
        <v>14.285714285714199</v>
      </c>
      <c r="M341" s="10">
        <v>0.30590394616090499</v>
      </c>
      <c r="N341" s="1">
        <v>7.8671491967271005E-6</v>
      </c>
      <c r="O341" s="10">
        <v>5.1041826135653396</v>
      </c>
      <c r="P341" s="14">
        <v>46.699999999999903</v>
      </c>
      <c r="Q341" s="11">
        <v>97.387235729809106</v>
      </c>
      <c r="R341" s="10">
        <v>0.57999999999999996</v>
      </c>
      <c r="S341" s="10">
        <v>26.5</v>
      </c>
      <c r="T341" s="10">
        <v>1.73</v>
      </c>
      <c r="V341" s="9">
        <f t="shared" si="20"/>
        <v>161</v>
      </c>
      <c r="W341" s="9">
        <f t="shared" si="21"/>
        <v>332</v>
      </c>
      <c r="X341">
        <f t="shared" si="22"/>
        <v>11</v>
      </c>
      <c r="Y341">
        <f t="shared" si="23"/>
        <v>0</v>
      </c>
      <c r="Z341">
        <v>340</v>
      </c>
    </row>
    <row r="342" spans="1:26" x14ac:dyDescent="0.2">
      <c r="A342" s="8">
        <v>95</v>
      </c>
      <c r="B342" s="9">
        <v>3419</v>
      </c>
      <c r="C342" s="9">
        <v>2</v>
      </c>
      <c r="D342" s="9">
        <v>2</v>
      </c>
      <c r="E342" s="9">
        <v>1</v>
      </c>
      <c r="F342" s="9">
        <v>2</v>
      </c>
      <c r="G342" t="s">
        <v>314</v>
      </c>
      <c r="H342" s="9">
        <v>4</v>
      </c>
      <c r="I342" s="9">
        <v>28</v>
      </c>
      <c r="J342" s="9">
        <v>14</v>
      </c>
      <c r="K342" s="10">
        <v>14.285714285714199</v>
      </c>
      <c r="L342" s="10">
        <v>28.571428571428498</v>
      </c>
      <c r="M342" s="10">
        <v>0.73103868413036799</v>
      </c>
      <c r="N342" s="1">
        <v>7.8671491967271005E-6</v>
      </c>
      <c r="O342" s="10">
        <v>5.1041826135653396</v>
      </c>
      <c r="P342" s="14">
        <v>39.0833333333333</v>
      </c>
      <c r="Q342" s="11">
        <v>97.387235729809106</v>
      </c>
      <c r="R342" s="10">
        <v>3.82</v>
      </c>
      <c r="S342" s="10">
        <v>26.5</v>
      </c>
      <c r="T342" s="10">
        <v>1.73</v>
      </c>
      <c r="V342" s="9">
        <f t="shared" si="20"/>
        <v>161</v>
      </c>
      <c r="W342" s="9">
        <f t="shared" si="21"/>
        <v>333</v>
      </c>
      <c r="X342">
        <f t="shared" si="22"/>
        <v>11</v>
      </c>
      <c r="Y342">
        <f t="shared" si="23"/>
        <v>0</v>
      </c>
      <c r="Z342">
        <v>341</v>
      </c>
    </row>
    <row r="343" spans="1:26" x14ac:dyDescent="0.2">
      <c r="A343" s="8">
        <v>96</v>
      </c>
      <c r="B343" s="9">
        <v>97</v>
      </c>
      <c r="C343" s="9">
        <v>2</v>
      </c>
      <c r="D343" s="9">
        <v>2</v>
      </c>
      <c r="E343" s="9">
        <v>1</v>
      </c>
      <c r="F343" s="9">
        <v>1</v>
      </c>
      <c r="G343" t="s">
        <v>315</v>
      </c>
      <c r="H343" s="9">
        <v>5</v>
      </c>
      <c r="I343" s="9">
        <v>32</v>
      </c>
      <c r="J343" s="9">
        <v>27</v>
      </c>
      <c r="K343" s="10">
        <v>15.625</v>
      </c>
      <c r="L343" s="10">
        <v>18.518518518518501</v>
      </c>
      <c r="M343" s="10">
        <v>0.8256880733944949</v>
      </c>
      <c r="N343" s="1">
        <v>8.6379045592325292E-6</v>
      </c>
      <c r="O343" s="10">
        <v>5.0635915988098903</v>
      </c>
      <c r="P343" s="14">
        <v>22.427983539094601</v>
      </c>
      <c r="Q343" s="11">
        <v>69.778640363547893</v>
      </c>
      <c r="R343" s="10">
        <v>12.53</v>
      </c>
      <c r="S343" s="10">
        <v>23.78</v>
      </c>
      <c r="T343" s="10">
        <v>1.55</v>
      </c>
      <c r="V343" s="9">
        <f t="shared" si="20"/>
        <v>162</v>
      </c>
      <c r="W343" s="9">
        <f t="shared" si="21"/>
        <v>334</v>
      </c>
      <c r="X343">
        <f t="shared" si="22"/>
        <v>11</v>
      </c>
      <c r="Y343">
        <f t="shared" si="23"/>
        <v>0</v>
      </c>
      <c r="Z343">
        <v>342</v>
      </c>
    </row>
    <row r="344" spans="1:26" x14ac:dyDescent="0.2">
      <c r="A344" s="8">
        <v>96</v>
      </c>
      <c r="B344" s="9">
        <v>97</v>
      </c>
      <c r="C344" s="9">
        <v>2</v>
      </c>
      <c r="D344" s="9">
        <v>2</v>
      </c>
      <c r="E344" s="9">
        <v>1</v>
      </c>
      <c r="F344" s="9">
        <v>2</v>
      </c>
      <c r="G344" t="s">
        <v>316</v>
      </c>
      <c r="H344" s="9">
        <v>5</v>
      </c>
      <c r="I344" s="9">
        <v>27</v>
      </c>
      <c r="J344" s="9">
        <v>32</v>
      </c>
      <c r="K344" s="10">
        <v>18.518518518518501</v>
      </c>
      <c r="L344" s="10">
        <v>15.625</v>
      </c>
      <c r="M344" s="10">
        <v>0.67381316998468599</v>
      </c>
      <c r="N344" s="1">
        <v>8.6379045592325394E-6</v>
      </c>
      <c r="O344" s="10">
        <v>5.0635915988098903</v>
      </c>
      <c r="P344" s="14">
        <v>23.1889204545454</v>
      </c>
      <c r="Q344" s="11">
        <v>69.778640363547893</v>
      </c>
      <c r="R344" s="10">
        <v>0.78</v>
      </c>
      <c r="S344" s="10">
        <v>23.78</v>
      </c>
      <c r="T344" s="10">
        <v>1.55</v>
      </c>
      <c r="V344" s="9">
        <f t="shared" si="20"/>
        <v>162</v>
      </c>
      <c r="W344" s="9">
        <f t="shared" si="21"/>
        <v>335</v>
      </c>
      <c r="X344">
        <f t="shared" si="22"/>
        <v>11</v>
      </c>
      <c r="Y344">
        <f t="shared" si="23"/>
        <v>0</v>
      </c>
      <c r="Z344">
        <v>343</v>
      </c>
    </row>
    <row r="345" spans="1:26" x14ac:dyDescent="0.2">
      <c r="A345" s="8">
        <v>96</v>
      </c>
      <c r="B345" s="9">
        <v>391</v>
      </c>
      <c r="C345" s="9">
        <v>2</v>
      </c>
      <c r="D345" s="9">
        <v>2</v>
      </c>
      <c r="E345" s="9">
        <v>1</v>
      </c>
      <c r="F345" s="9">
        <v>1</v>
      </c>
      <c r="G345" t="s">
        <v>245</v>
      </c>
      <c r="H345" s="9">
        <v>5</v>
      </c>
      <c r="I345" s="9">
        <v>100</v>
      </c>
      <c r="J345" s="9">
        <v>7</v>
      </c>
      <c r="K345" s="10">
        <v>5</v>
      </c>
      <c r="L345" s="10">
        <v>71.428571428571402</v>
      </c>
      <c r="M345" s="10">
        <v>2.88753799392097</v>
      </c>
      <c r="N345" s="1">
        <v>9.3054661736303E-7</v>
      </c>
      <c r="O345" s="10">
        <v>6.0312618652453001</v>
      </c>
      <c r="P345" s="14">
        <v>24.736842105263101</v>
      </c>
      <c r="Q345" s="11">
        <v>89.488281462341604</v>
      </c>
      <c r="R345" s="10">
        <v>10.3</v>
      </c>
      <c r="S345" s="10">
        <v>23.24</v>
      </c>
      <c r="T345" s="10">
        <v>1.51</v>
      </c>
      <c r="V345" s="9">
        <f t="shared" si="20"/>
        <v>163</v>
      </c>
      <c r="W345" s="9">
        <f t="shared" si="21"/>
        <v>336</v>
      </c>
      <c r="X345">
        <f t="shared" si="22"/>
        <v>11</v>
      </c>
      <c r="Y345">
        <f t="shared" si="23"/>
        <v>0</v>
      </c>
      <c r="Z345">
        <v>344</v>
      </c>
    </row>
    <row r="346" spans="1:26" x14ac:dyDescent="0.2">
      <c r="A346" s="8">
        <v>96</v>
      </c>
      <c r="B346" s="9">
        <v>391</v>
      </c>
      <c r="C346" s="9">
        <v>2</v>
      </c>
      <c r="D346" s="9">
        <v>2</v>
      </c>
      <c r="E346" s="9">
        <v>1</v>
      </c>
      <c r="F346" s="9">
        <v>2</v>
      </c>
      <c r="G346" t="s">
        <v>317</v>
      </c>
      <c r="H346" s="9">
        <v>5</v>
      </c>
      <c r="I346" s="9">
        <v>7</v>
      </c>
      <c r="J346" s="9">
        <v>98</v>
      </c>
      <c r="K346" s="10">
        <v>71.428571428571402</v>
      </c>
      <c r="L346" s="10">
        <v>5.1020408163265296</v>
      </c>
      <c r="M346" s="10">
        <v>6.2519537355423496E-2</v>
      </c>
      <c r="N346" s="1">
        <v>8.4024242022915095E-7</v>
      </c>
      <c r="O346" s="10">
        <v>6.0755953965823704</v>
      </c>
      <c r="P346" s="14">
        <v>81.607142857142804</v>
      </c>
      <c r="Q346" s="11">
        <v>91.438325604695905</v>
      </c>
      <c r="R346" s="10">
        <v>1.54</v>
      </c>
      <c r="S346" s="10">
        <v>23.24</v>
      </c>
      <c r="T346" s="10">
        <v>1.51</v>
      </c>
      <c r="V346" s="9">
        <f t="shared" si="20"/>
        <v>163</v>
      </c>
      <c r="W346" s="9">
        <f t="shared" si="21"/>
        <v>337</v>
      </c>
      <c r="X346">
        <f t="shared" si="22"/>
        <v>11</v>
      </c>
      <c r="Y346">
        <f t="shared" si="23"/>
        <v>0</v>
      </c>
      <c r="Z346">
        <v>345</v>
      </c>
    </row>
    <row r="347" spans="1:26" x14ac:dyDescent="0.2">
      <c r="A347" s="8">
        <v>98</v>
      </c>
      <c r="B347" s="9">
        <v>248</v>
      </c>
      <c r="C347" s="9">
        <v>3</v>
      </c>
      <c r="D347" s="9">
        <v>3</v>
      </c>
      <c r="E347" s="9">
        <v>1</v>
      </c>
      <c r="F347" s="9">
        <v>1</v>
      </c>
      <c r="G347" t="s">
        <v>87</v>
      </c>
      <c r="H347" s="9">
        <v>3</v>
      </c>
      <c r="I347" s="9">
        <v>4</v>
      </c>
      <c r="J347" s="9">
        <v>4</v>
      </c>
      <c r="K347" s="10">
        <v>75</v>
      </c>
      <c r="L347" s="10">
        <v>75</v>
      </c>
      <c r="M347" s="10">
        <v>3.0367446097783097E-2</v>
      </c>
      <c r="N347" s="1">
        <v>5.3609377616357702E-9</v>
      </c>
      <c r="O347" s="10">
        <v>8.2707592347323597</v>
      </c>
      <c r="P347" s="14">
        <v>2469.75</v>
      </c>
      <c r="Q347" s="11">
        <v>1286.0140315390399</v>
      </c>
      <c r="R347" s="10">
        <v>1.94</v>
      </c>
      <c r="S347" s="10">
        <v>17.670000000000002</v>
      </c>
      <c r="T347" s="10">
        <v>1.1499999999999999</v>
      </c>
      <c r="V347" s="9">
        <f t="shared" si="20"/>
        <v>164</v>
      </c>
      <c r="W347" s="9">
        <f t="shared" si="21"/>
        <v>338</v>
      </c>
      <c r="X347">
        <f t="shared" si="22"/>
        <v>11</v>
      </c>
      <c r="Y347">
        <f t="shared" si="23"/>
        <v>0</v>
      </c>
      <c r="Z347">
        <v>346</v>
      </c>
    </row>
    <row r="348" spans="1:26" x14ac:dyDescent="0.2">
      <c r="A348" s="8">
        <v>98</v>
      </c>
      <c r="B348" s="9">
        <v>248</v>
      </c>
      <c r="C348" s="9">
        <v>3</v>
      </c>
      <c r="D348" s="9">
        <v>3</v>
      </c>
      <c r="E348" s="9">
        <v>1</v>
      </c>
      <c r="F348" s="9">
        <v>2</v>
      </c>
      <c r="G348" t="s">
        <v>318</v>
      </c>
      <c r="H348" s="9">
        <v>2</v>
      </c>
      <c r="I348" s="9">
        <v>3</v>
      </c>
      <c r="J348" s="9">
        <v>4</v>
      </c>
      <c r="K348" s="10">
        <v>66.6666666666666</v>
      </c>
      <c r="L348" s="10">
        <v>50</v>
      </c>
      <c r="M348" s="10">
        <v>3.0367446097783097E-2</v>
      </c>
      <c r="N348" s="1">
        <v>6.6229362073502899E-6</v>
      </c>
      <c r="O348" s="10">
        <v>5.1789494280920403</v>
      </c>
      <c r="P348" s="14">
        <v>1646.49999999999</v>
      </c>
      <c r="Q348" s="11">
        <v>616.49937496784798</v>
      </c>
      <c r="R348" s="10">
        <v>4.24</v>
      </c>
      <c r="S348" s="10">
        <v>17.670000000000002</v>
      </c>
      <c r="T348" s="10">
        <v>1.1499999999999999</v>
      </c>
      <c r="V348" s="9">
        <f t="shared" si="20"/>
        <v>164</v>
      </c>
      <c r="W348" s="9">
        <f t="shared" si="21"/>
        <v>339</v>
      </c>
      <c r="X348">
        <f t="shared" si="22"/>
        <v>11</v>
      </c>
      <c r="Y348">
        <f t="shared" si="23"/>
        <v>0</v>
      </c>
      <c r="Z348">
        <v>347</v>
      </c>
    </row>
    <row r="349" spans="1:26" x14ac:dyDescent="0.2">
      <c r="A349" s="8">
        <v>98</v>
      </c>
      <c r="B349" s="9">
        <v>248</v>
      </c>
      <c r="C349" s="9">
        <v>3</v>
      </c>
      <c r="D349" s="9">
        <v>3</v>
      </c>
      <c r="E349" s="9">
        <v>1</v>
      </c>
      <c r="F349" s="9">
        <v>3</v>
      </c>
      <c r="G349" t="s">
        <v>319</v>
      </c>
      <c r="H349" s="9">
        <v>2</v>
      </c>
      <c r="I349" s="9">
        <v>2</v>
      </c>
      <c r="J349" s="9">
        <v>5</v>
      </c>
      <c r="K349" s="10">
        <v>100</v>
      </c>
      <c r="L349" s="10">
        <v>40</v>
      </c>
      <c r="M349" s="10">
        <v>0</v>
      </c>
      <c r="N349" s="1">
        <v>3.6808984925984502E-6</v>
      </c>
      <c r="O349" s="10">
        <v>5.4340461588402604</v>
      </c>
      <c r="P349" s="14" t="s">
        <v>116</v>
      </c>
      <c r="Q349" s="11">
        <v>740.39932502253998</v>
      </c>
      <c r="R349" s="10">
        <v>1.59</v>
      </c>
      <c r="S349" s="10">
        <v>17.670000000000002</v>
      </c>
      <c r="T349" s="10">
        <v>1.1499999999999999</v>
      </c>
      <c r="V349" s="9">
        <f t="shared" si="20"/>
        <v>164</v>
      </c>
      <c r="W349" s="9">
        <f t="shared" si="21"/>
        <v>340</v>
      </c>
      <c r="X349">
        <f t="shared" si="22"/>
        <v>11</v>
      </c>
      <c r="Y349">
        <f t="shared" si="23"/>
        <v>0</v>
      </c>
      <c r="Z349">
        <v>348</v>
      </c>
    </row>
    <row r="350" spans="1:26" x14ac:dyDescent="0.2">
      <c r="A350" s="8">
        <v>98</v>
      </c>
      <c r="B350" s="9">
        <v>251</v>
      </c>
      <c r="C350" s="9">
        <v>2</v>
      </c>
      <c r="D350" s="9">
        <v>2</v>
      </c>
      <c r="E350" s="9">
        <v>1</v>
      </c>
      <c r="F350" s="9">
        <v>1</v>
      </c>
      <c r="G350" t="s">
        <v>281</v>
      </c>
      <c r="H350" s="9">
        <v>6</v>
      </c>
      <c r="I350" s="9">
        <v>307</v>
      </c>
      <c r="J350" s="9">
        <v>7</v>
      </c>
      <c r="K350" s="10">
        <v>1.9543973941368</v>
      </c>
      <c r="L350" s="10">
        <v>85.714285714285694</v>
      </c>
      <c r="M350" s="10">
        <v>9.1489361702127603</v>
      </c>
      <c r="N350" s="1">
        <v>8.0430105595947304E-6</v>
      </c>
      <c r="O350" s="10">
        <v>5.0945813611158401</v>
      </c>
      <c r="P350" s="14">
        <v>9.3687707641195992</v>
      </c>
      <c r="Q350" s="11">
        <v>39.8486449002624</v>
      </c>
      <c r="R350" s="10">
        <v>289.89999999999998</v>
      </c>
      <c r="S350" s="10">
        <v>21.06</v>
      </c>
      <c r="T350" s="10">
        <v>1.37</v>
      </c>
      <c r="V350" s="9">
        <f t="shared" si="20"/>
        <v>165</v>
      </c>
      <c r="W350" s="9">
        <f t="shared" si="21"/>
        <v>341</v>
      </c>
      <c r="X350">
        <f t="shared" si="22"/>
        <v>12</v>
      </c>
      <c r="Y350">
        <f t="shared" si="23"/>
        <v>0</v>
      </c>
      <c r="Z350">
        <v>349</v>
      </c>
    </row>
    <row r="351" spans="1:26" x14ac:dyDescent="0.2">
      <c r="A351" s="8">
        <v>98</v>
      </c>
      <c r="B351" s="9">
        <v>251</v>
      </c>
      <c r="C351" s="9">
        <v>2</v>
      </c>
      <c r="D351" s="9">
        <v>2</v>
      </c>
      <c r="E351" s="9">
        <v>1</v>
      </c>
      <c r="F351" s="9">
        <v>2</v>
      </c>
      <c r="G351" t="s">
        <v>266</v>
      </c>
      <c r="H351" s="9">
        <v>6</v>
      </c>
      <c r="I351" s="9">
        <v>7</v>
      </c>
      <c r="J351" s="9">
        <v>305</v>
      </c>
      <c r="K351" s="10">
        <v>85.714285714285694</v>
      </c>
      <c r="L351" s="10">
        <v>1.9672131147540899</v>
      </c>
      <c r="M351" s="10">
        <v>3.3422459893048102E-2</v>
      </c>
      <c r="N351" s="1">
        <v>7.7355640430738505E-6</v>
      </c>
      <c r="O351" s="10">
        <v>5.1115080139796598</v>
      </c>
      <c r="P351" s="14">
        <v>58.859016393442602</v>
      </c>
      <c r="Q351" s="11">
        <v>40.153380283126801</v>
      </c>
      <c r="R351" s="10">
        <v>1.1299999999999999</v>
      </c>
      <c r="S351" s="10">
        <v>21.06</v>
      </c>
      <c r="T351" s="10">
        <v>1.37</v>
      </c>
      <c r="V351" s="9">
        <f t="shared" si="20"/>
        <v>165</v>
      </c>
      <c r="W351" s="9">
        <f t="shared" si="21"/>
        <v>342</v>
      </c>
      <c r="X351">
        <f t="shared" si="22"/>
        <v>12</v>
      </c>
      <c r="Y351">
        <f t="shared" si="23"/>
        <v>0</v>
      </c>
      <c r="Z351">
        <v>350</v>
      </c>
    </row>
    <row r="352" spans="1:26" x14ac:dyDescent="0.2">
      <c r="A352" s="8">
        <v>98</v>
      </c>
      <c r="B352" s="9">
        <v>379</v>
      </c>
      <c r="C352" s="9">
        <v>2</v>
      </c>
      <c r="D352" s="9">
        <v>2</v>
      </c>
      <c r="E352" s="9">
        <v>1</v>
      </c>
      <c r="F352" s="9">
        <v>1</v>
      </c>
      <c r="G352" t="s">
        <v>257</v>
      </c>
      <c r="H352" s="9">
        <v>4</v>
      </c>
      <c r="I352" s="9">
        <v>24</v>
      </c>
      <c r="J352" s="9">
        <v>17</v>
      </c>
      <c r="K352" s="10">
        <v>16.6666666666666</v>
      </c>
      <c r="L352" s="10">
        <v>23.529411764705799</v>
      </c>
      <c r="M352" s="10">
        <v>0.60975609756097504</v>
      </c>
      <c r="N352" s="1">
        <v>9.6604225523528192E-6</v>
      </c>
      <c r="O352" s="10">
        <v>5.0150038768824698</v>
      </c>
      <c r="P352" s="14">
        <v>38.588235294117602</v>
      </c>
      <c r="Q352" s="11">
        <v>93.270931977711996</v>
      </c>
      <c r="R352" s="10">
        <v>5.3</v>
      </c>
      <c r="S352" s="10">
        <v>21.14</v>
      </c>
      <c r="T352" s="10">
        <v>1.38</v>
      </c>
      <c r="V352" s="9">
        <f t="shared" si="20"/>
        <v>166</v>
      </c>
      <c r="W352" s="9">
        <f t="shared" si="21"/>
        <v>343</v>
      </c>
      <c r="X352">
        <f t="shared" si="22"/>
        <v>12</v>
      </c>
      <c r="Y352">
        <f t="shared" si="23"/>
        <v>0</v>
      </c>
      <c r="Z352">
        <v>351</v>
      </c>
    </row>
    <row r="353" spans="1:26" x14ac:dyDescent="0.2">
      <c r="A353" s="8">
        <v>98</v>
      </c>
      <c r="B353" s="9">
        <v>379</v>
      </c>
      <c r="C353" s="9">
        <v>2</v>
      </c>
      <c r="D353" s="9">
        <v>2</v>
      </c>
      <c r="E353" s="9">
        <v>1</v>
      </c>
      <c r="F353" s="9">
        <v>2</v>
      </c>
      <c r="G353" t="s">
        <v>137</v>
      </c>
      <c r="H353" s="9">
        <v>4</v>
      </c>
      <c r="I353" s="9">
        <v>17</v>
      </c>
      <c r="J353" s="9">
        <v>24</v>
      </c>
      <c r="K353" s="10">
        <v>23.529411764705799</v>
      </c>
      <c r="L353" s="10">
        <v>16.6666666666666</v>
      </c>
      <c r="M353" s="10">
        <v>0.39718912312862797</v>
      </c>
      <c r="N353" s="1">
        <v>9.6604225523528006E-6</v>
      </c>
      <c r="O353" s="10">
        <v>5.0150038768824698</v>
      </c>
      <c r="P353" s="14">
        <v>41.961538461538403</v>
      </c>
      <c r="Q353" s="11">
        <v>93.270931977711996</v>
      </c>
      <c r="R353" s="10">
        <v>12.81</v>
      </c>
      <c r="S353" s="10">
        <v>21.14</v>
      </c>
      <c r="T353" s="10">
        <v>1.38</v>
      </c>
      <c r="V353" s="9">
        <f t="shared" si="20"/>
        <v>166</v>
      </c>
      <c r="W353" s="9">
        <f t="shared" si="21"/>
        <v>344</v>
      </c>
      <c r="X353">
        <f t="shared" si="22"/>
        <v>12</v>
      </c>
      <c r="Y353">
        <f t="shared" si="23"/>
        <v>0</v>
      </c>
      <c r="Z353">
        <v>352</v>
      </c>
    </row>
    <row r="354" spans="1:26" x14ac:dyDescent="0.2">
      <c r="A354" s="8">
        <v>98</v>
      </c>
      <c r="B354" s="9">
        <v>1116</v>
      </c>
      <c r="C354" s="9">
        <v>2</v>
      </c>
      <c r="D354" s="9">
        <v>2</v>
      </c>
      <c r="E354" s="9">
        <v>1</v>
      </c>
      <c r="F354" s="9">
        <v>1</v>
      </c>
      <c r="G354" t="s">
        <v>170</v>
      </c>
      <c r="H354" s="9">
        <v>4</v>
      </c>
      <c r="I354" s="9">
        <v>93</v>
      </c>
      <c r="J354" s="9">
        <v>5</v>
      </c>
      <c r="K354" s="10">
        <v>4.3010752688171996</v>
      </c>
      <c r="L354" s="10">
        <v>80</v>
      </c>
      <c r="M354" s="10">
        <v>2.7035236938031502</v>
      </c>
      <c r="N354" s="1">
        <v>5.8126792690208001E-6</v>
      </c>
      <c r="O354" s="10">
        <v>5.2356236398059099</v>
      </c>
      <c r="P354" s="14">
        <v>29.591011235955001</v>
      </c>
      <c r="Q354" s="11">
        <v>82.444543048278504</v>
      </c>
      <c r="R354" s="10">
        <v>11.4</v>
      </c>
      <c r="S354" s="10">
        <v>22.45</v>
      </c>
      <c r="T354" s="10">
        <v>1.46</v>
      </c>
      <c r="V354" s="9">
        <f t="shared" si="20"/>
        <v>167</v>
      </c>
      <c r="W354" s="9">
        <f t="shared" si="21"/>
        <v>345</v>
      </c>
      <c r="X354">
        <f t="shared" si="22"/>
        <v>12</v>
      </c>
      <c r="Y354">
        <f t="shared" si="23"/>
        <v>0</v>
      </c>
      <c r="Z354">
        <v>353</v>
      </c>
    </row>
    <row r="355" spans="1:26" x14ac:dyDescent="0.2">
      <c r="A355" s="8">
        <v>98</v>
      </c>
      <c r="B355" s="9">
        <v>1116</v>
      </c>
      <c r="C355" s="9">
        <v>2</v>
      </c>
      <c r="D355" s="9">
        <v>2</v>
      </c>
      <c r="E355" s="9">
        <v>1</v>
      </c>
      <c r="F355" s="9">
        <v>2</v>
      </c>
      <c r="G355" t="s">
        <v>320</v>
      </c>
      <c r="H355" s="9">
        <v>4</v>
      </c>
      <c r="I355" s="9">
        <v>5</v>
      </c>
      <c r="J355" s="9">
        <v>91</v>
      </c>
      <c r="K355" s="10">
        <v>80</v>
      </c>
      <c r="L355" s="10">
        <v>4.3956043956043898</v>
      </c>
      <c r="M355" s="10">
        <v>3.1191515907673103E-2</v>
      </c>
      <c r="N355" s="1">
        <v>5.3234586801127799E-6</v>
      </c>
      <c r="O355" s="10">
        <v>5.2738061125122204</v>
      </c>
      <c r="P355" s="14">
        <v>140.923076923076</v>
      </c>
      <c r="Q355" s="11">
        <v>84.356086091484698</v>
      </c>
      <c r="R355" s="10">
        <v>2.29</v>
      </c>
      <c r="S355" s="10">
        <v>22.45</v>
      </c>
      <c r="T355" s="10">
        <v>1.46</v>
      </c>
      <c r="V355" s="9">
        <f t="shared" si="20"/>
        <v>167</v>
      </c>
      <c r="W355" s="9">
        <f t="shared" si="21"/>
        <v>346</v>
      </c>
      <c r="X355">
        <f t="shared" si="22"/>
        <v>12</v>
      </c>
      <c r="Y355">
        <f t="shared" si="23"/>
        <v>0</v>
      </c>
      <c r="Z355">
        <v>354</v>
      </c>
    </row>
    <row r="356" spans="1:26" x14ac:dyDescent="0.2">
      <c r="A356" s="8">
        <v>98</v>
      </c>
      <c r="B356" s="9">
        <v>1201</v>
      </c>
      <c r="C356" s="9">
        <v>2</v>
      </c>
      <c r="D356" s="9">
        <v>2</v>
      </c>
      <c r="E356" s="9">
        <v>1</v>
      </c>
      <c r="F356" s="9">
        <v>1</v>
      </c>
      <c r="G356" t="s">
        <v>35</v>
      </c>
      <c r="H356" s="9">
        <v>7</v>
      </c>
      <c r="I356" s="9">
        <v>90</v>
      </c>
      <c r="J356" s="9">
        <v>24</v>
      </c>
      <c r="K356" s="10">
        <v>7.7777777777777697</v>
      </c>
      <c r="L356" s="10">
        <v>29.1666666666666</v>
      </c>
      <c r="M356" s="10">
        <v>2.5358997861289301</v>
      </c>
      <c r="N356" s="1">
        <v>4.2396693481089899E-6</v>
      </c>
      <c r="O356" s="10">
        <v>5.3726680127212401</v>
      </c>
      <c r="P356" s="14">
        <v>11.501506024096299</v>
      </c>
      <c r="Q356" s="11">
        <v>54.001546469524399</v>
      </c>
      <c r="R356" s="10">
        <v>38.46</v>
      </c>
      <c r="S356" s="10">
        <v>24.3</v>
      </c>
      <c r="T356" s="10">
        <v>1.58</v>
      </c>
      <c r="V356" s="9">
        <f t="shared" si="20"/>
        <v>168</v>
      </c>
      <c r="W356" s="9">
        <f t="shared" si="21"/>
        <v>347</v>
      </c>
      <c r="X356">
        <f t="shared" si="22"/>
        <v>12</v>
      </c>
      <c r="Y356">
        <f t="shared" si="23"/>
        <v>0</v>
      </c>
      <c r="Z356">
        <v>355</v>
      </c>
    </row>
    <row r="357" spans="1:26" x14ac:dyDescent="0.2">
      <c r="A357" s="8">
        <v>98</v>
      </c>
      <c r="B357" s="9">
        <v>1201</v>
      </c>
      <c r="C357" s="9">
        <v>2</v>
      </c>
      <c r="D357" s="9">
        <v>2</v>
      </c>
      <c r="E357" s="9">
        <v>1</v>
      </c>
      <c r="F357" s="9">
        <v>2</v>
      </c>
      <c r="G357" t="s">
        <v>268</v>
      </c>
      <c r="H357" s="9">
        <v>7</v>
      </c>
      <c r="I357" s="9">
        <v>24</v>
      </c>
      <c r="J357" s="9">
        <v>93</v>
      </c>
      <c r="K357" s="10">
        <v>29.1666666666666</v>
      </c>
      <c r="L357" s="10">
        <v>7.5268817204300991</v>
      </c>
      <c r="M357" s="10">
        <v>0.53058676654182202</v>
      </c>
      <c r="N357" s="1">
        <v>5.30206982750007E-6</v>
      </c>
      <c r="O357" s="10">
        <v>5.2755545569691504</v>
      </c>
      <c r="P357" s="14">
        <v>14.1859582542694</v>
      </c>
      <c r="Q357" s="11">
        <v>51.918345045908602</v>
      </c>
      <c r="R357" s="10">
        <v>4.87</v>
      </c>
      <c r="S357" s="10">
        <v>24.3</v>
      </c>
      <c r="T357" s="10">
        <v>1.58</v>
      </c>
      <c r="V357" s="9">
        <f t="shared" si="20"/>
        <v>168</v>
      </c>
      <c r="W357" s="9">
        <f t="shared" si="21"/>
        <v>348</v>
      </c>
      <c r="X357">
        <f t="shared" si="22"/>
        <v>12</v>
      </c>
      <c r="Y357">
        <f t="shared" si="23"/>
        <v>0</v>
      </c>
      <c r="Z357">
        <v>356</v>
      </c>
    </row>
    <row r="358" spans="1:26" x14ac:dyDescent="0.2">
      <c r="A358" s="8">
        <v>100</v>
      </c>
      <c r="B358" s="9">
        <v>1218</v>
      </c>
      <c r="C358" s="9">
        <v>2</v>
      </c>
      <c r="D358" s="9">
        <v>2</v>
      </c>
      <c r="E358" s="9">
        <v>1</v>
      </c>
      <c r="F358" s="9">
        <v>1</v>
      </c>
      <c r="G358" t="s">
        <v>148</v>
      </c>
      <c r="H358" s="9">
        <v>4</v>
      </c>
      <c r="I358" s="9">
        <v>105</v>
      </c>
      <c r="J358" s="9">
        <v>4</v>
      </c>
      <c r="K358" s="10">
        <v>3.8095238095238098</v>
      </c>
      <c r="L358" s="10">
        <v>100</v>
      </c>
      <c r="M358" s="10">
        <v>3.0671120558761</v>
      </c>
      <c r="N358" s="1">
        <v>1.9453818808399102E-6</v>
      </c>
      <c r="O358" s="10">
        <v>5.7109951334322</v>
      </c>
      <c r="P358" s="14">
        <v>32.603960396039597</v>
      </c>
      <c r="Q358" s="11">
        <v>92.339083927030202</v>
      </c>
      <c r="R358" s="10">
        <v>26.78</v>
      </c>
      <c r="S358" s="10">
        <v>22.55</v>
      </c>
      <c r="T358" s="10">
        <v>1.47</v>
      </c>
      <c r="V358" s="9">
        <f t="shared" si="20"/>
        <v>169</v>
      </c>
      <c r="W358" s="9">
        <f t="shared" si="21"/>
        <v>349</v>
      </c>
      <c r="X358">
        <f t="shared" si="22"/>
        <v>12</v>
      </c>
      <c r="Y358">
        <f t="shared" si="23"/>
        <v>0</v>
      </c>
      <c r="Z358">
        <v>357</v>
      </c>
    </row>
    <row r="359" spans="1:26" x14ac:dyDescent="0.2">
      <c r="A359" s="8">
        <v>100</v>
      </c>
      <c r="B359" s="9">
        <v>1218</v>
      </c>
      <c r="C359" s="9">
        <v>2</v>
      </c>
      <c r="D359" s="9">
        <v>2</v>
      </c>
      <c r="E359" s="9">
        <v>1</v>
      </c>
      <c r="F359" s="9">
        <v>2</v>
      </c>
      <c r="G359" t="s">
        <v>321</v>
      </c>
      <c r="H359" s="9">
        <v>4</v>
      </c>
      <c r="I359" s="9">
        <v>4</v>
      </c>
      <c r="J359" s="9">
        <v>104</v>
      </c>
      <c r="K359" s="10">
        <v>100</v>
      </c>
      <c r="L359" s="10">
        <v>3.84615384615384</v>
      </c>
      <c r="M359" s="10">
        <v>0</v>
      </c>
      <c r="N359" s="1">
        <v>1.8712720949031601E-6</v>
      </c>
      <c r="O359" s="10">
        <v>5.7278630587194996</v>
      </c>
      <c r="P359" s="14" t="s">
        <v>322</v>
      </c>
      <c r="Q359" s="11">
        <v>93.264826265109903</v>
      </c>
      <c r="R359" s="10">
        <v>4.68</v>
      </c>
      <c r="S359" s="10">
        <v>22.55</v>
      </c>
      <c r="T359" s="10">
        <v>1.47</v>
      </c>
      <c r="V359" s="9">
        <f t="shared" si="20"/>
        <v>169</v>
      </c>
      <c r="W359" s="9">
        <f t="shared" si="21"/>
        <v>350</v>
      </c>
      <c r="X359">
        <f t="shared" si="22"/>
        <v>12</v>
      </c>
      <c r="Y359">
        <f t="shared" si="23"/>
        <v>0</v>
      </c>
      <c r="Z359">
        <v>358</v>
      </c>
    </row>
    <row r="360" spans="1:26" x14ac:dyDescent="0.2">
      <c r="A360" s="8">
        <v>100</v>
      </c>
      <c r="B360" s="9">
        <v>1222</v>
      </c>
      <c r="C360" s="9">
        <v>2</v>
      </c>
      <c r="D360" s="9">
        <v>2</v>
      </c>
      <c r="E360" s="9">
        <v>1</v>
      </c>
      <c r="F360" s="9">
        <v>1</v>
      </c>
      <c r="G360" t="s">
        <v>133</v>
      </c>
      <c r="H360" s="9">
        <v>4</v>
      </c>
      <c r="I360" s="9">
        <v>15</v>
      </c>
      <c r="J360" s="9">
        <v>17</v>
      </c>
      <c r="K360" s="10">
        <v>26.6666666666666</v>
      </c>
      <c r="L360" s="10">
        <v>23.529411764705799</v>
      </c>
      <c r="M360" s="10">
        <v>0.335365853658536</v>
      </c>
      <c r="N360" s="1">
        <v>1.2768654593805501E-6</v>
      </c>
      <c r="O360" s="10">
        <v>5.8938548610191503</v>
      </c>
      <c r="P360" s="14">
        <v>70.160427807486599</v>
      </c>
      <c r="Q360" s="11">
        <v>152.94348716440101</v>
      </c>
      <c r="R360" s="10">
        <v>0.57999999999999996</v>
      </c>
      <c r="S360" s="10">
        <v>25.22</v>
      </c>
      <c r="T360" s="10">
        <v>1.64</v>
      </c>
      <c r="V360" s="9">
        <f t="shared" si="20"/>
        <v>170</v>
      </c>
      <c r="W360" s="9">
        <f t="shared" si="21"/>
        <v>351</v>
      </c>
      <c r="X360">
        <f t="shared" si="22"/>
        <v>12</v>
      </c>
      <c r="Y360">
        <f t="shared" si="23"/>
        <v>0</v>
      </c>
      <c r="Z360">
        <v>359</v>
      </c>
    </row>
    <row r="361" spans="1:26" x14ac:dyDescent="0.2">
      <c r="A361" s="8">
        <v>100</v>
      </c>
      <c r="B361" s="9">
        <v>1222</v>
      </c>
      <c r="C361" s="9">
        <v>2</v>
      </c>
      <c r="D361" s="9">
        <v>2</v>
      </c>
      <c r="E361" s="9">
        <v>1</v>
      </c>
      <c r="F361" s="9">
        <v>2</v>
      </c>
      <c r="G361" t="s">
        <v>323</v>
      </c>
      <c r="H361" s="9">
        <v>4</v>
      </c>
      <c r="I361" s="9">
        <v>18</v>
      </c>
      <c r="J361" s="9">
        <v>14</v>
      </c>
      <c r="K361" s="10">
        <v>22.2222222222222</v>
      </c>
      <c r="L361" s="10">
        <v>28.571428571428498</v>
      </c>
      <c r="M361" s="10">
        <v>0.42643923240938097</v>
      </c>
      <c r="N361" s="1">
        <v>1.2047807515495999E-6</v>
      </c>
      <c r="O361" s="10">
        <v>5.9190919796913199</v>
      </c>
      <c r="P361" s="14">
        <v>67</v>
      </c>
      <c r="Q361" s="11">
        <v>154.846585633133</v>
      </c>
      <c r="R361" s="10">
        <v>32.15</v>
      </c>
      <c r="S361" s="10">
        <v>25.22</v>
      </c>
      <c r="T361" s="10">
        <v>1.64</v>
      </c>
      <c r="V361" s="9">
        <f t="shared" si="20"/>
        <v>170</v>
      </c>
      <c r="W361" s="9">
        <f t="shared" si="21"/>
        <v>352</v>
      </c>
      <c r="X361">
        <f t="shared" si="22"/>
        <v>12</v>
      </c>
      <c r="Y361">
        <f t="shared" si="23"/>
        <v>0</v>
      </c>
      <c r="Z361">
        <v>360</v>
      </c>
    </row>
    <row r="362" spans="1:26" x14ac:dyDescent="0.2">
      <c r="A362" s="8">
        <v>100</v>
      </c>
      <c r="B362" s="9">
        <v>2169</v>
      </c>
      <c r="C362" s="9">
        <v>2</v>
      </c>
      <c r="D362" s="9">
        <v>2</v>
      </c>
      <c r="E362" s="9">
        <v>1</v>
      </c>
      <c r="F362" s="9">
        <v>1</v>
      </c>
      <c r="G362" t="s">
        <v>324</v>
      </c>
      <c r="H362" s="9">
        <v>6</v>
      </c>
      <c r="I362" s="9">
        <v>72</v>
      </c>
      <c r="J362" s="9">
        <v>16</v>
      </c>
      <c r="K362" s="10">
        <v>8.3333333333333304</v>
      </c>
      <c r="L362" s="10">
        <v>37.5</v>
      </c>
      <c r="M362" s="10">
        <v>2.01158183480646</v>
      </c>
      <c r="N362" s="1">
        <v>1.18487133299551E-6</v>
      </c>
      <c r="O362" s="10">
        <v>5.9263288078006697</v>
      </c>
      <c r="P362" s="14">
        <v>18.6420454545454</v>
      </c>
      <c r="Q362" s="11">
        <v>77.997847487715504</v>
      </c>
      <c r="R362" s="10">
        <v>66.19</v>
      </c>
      <c r="S362" s="10">
        <v>22.35</v>
      </c>
      <c r="T362" s="10">
        <v>1.46</v>
      </c>
      <c r="V362" s="9">
        <f t="shared" si="20"/>
        <v>171</v>
      </c>
      <c r="W362" s="9">
        <f t="shared" si="21"/>
        <v>353</v>
      </c>
      <c r="X362">
        <f t="shared" si="22"/>
        <v>12</v>
      </c>
      <c r="Y362">
        <f t="shared" si="23"/>
        <v>0</v>
      </c>
      <c r="Z362">
        <v>361</v>
      </c>
    </row>
    <row r="363" spans="1:26" x14ac:dyDescent="0.2">
      <c r="A363" s="8">
        <v>100</v>
      </c>
      <c r="B363" s="9">
        <v>2169</v>
      </c>
      <c r="C363" s="9">
        <v>2</v>
      </c>
      <c r="D363" s="9">
        <v>2</v>
      </c>
      <c r="E363" s="9">
        <v>1</v>
      </c>
      <c r="F363" s="9">
        <v>2</v>
      </c>
      <c r="G363" t="s">
        <v>325</v>
      </c>
      <c r="H363" s="9">
        <v>6</v>
      </c>
      <c r="I363" s="9">
        <v>16</v>
      </c>
      <c r="J363" s="9">
        <v>69</v>
      </c>
      <c r="K363" s="10">
        <v>37.5</v>
      </c>
      <c r="L363" s="10">
        <v>8.6956521739130412</v>
      </c>
      <c r="M363" s="10">
        <v>0.30978934324659196</v>
      </c>
      <c r="N363" s="1">
        <v>9.1635482529769E-7</v>
      </c>
      <c r="O363" s="10">
        <v>6.0379363289190398</v>
      </c>
      <c r="P363" s="14">
        <v>28.0695652173913</v>
      </c>
      <c r="Q363" s="11">
        <v>81.773749424871696</v>
      </c>
      <c r="R363" s="10">
        <v>1.35</v>
      </c>
      <c r="S363" s="10">
        <v>22.35</v>
      </c>
      <c r="T363" s="10">
        <v>1.46</v>
      </c>
      <c r="V363" s="12">
        <f t="shared" si="20"/>
        <v>171</v>
      </c>
      <c r="W363" s="12">
        <f t="shared" si="21"/>
        <v>354</v>
      </c>
      <c r="X363" s="16">
        <f t="shared" si="22"/>
        <v>12</v>
      </c>
      <c r="Y363" s="16">
        <f t="shared" si="23"/>
        <v>0</v>
      </c>
      <c r="Z363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2026-03-10T13:45:09Z</dcterms:modified>
</cp:coreProperties>
</file>