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ryhisner/mp_pos_only_2026_03_09_8AM__EPCI_8_10_95__HQCS_5_1_5__minFsh5_grpFsh2_RANDOM____FINAL_V2/"/>
    </mc:Choice>
  </mc:AlternateContent>
  <xr:revisionPtr revIDLastSave="0" documentId="13_ncr:9_{79582CF2-1E9B-7E4C-93C4-043A0044DA5C}" xr6:coauthVersionLast="47" xr6:coauthVersionMax="47" xr10:uidLastSave="{00000000-0000-0000-0000-000000000000}"/>
  <bookViews>
    <workbookView xWindow="0" yWindow="760" windowWidth="30240" windowHeight="18000" xr2:uid="{B26B417E-AB06-2D42-82C8-C4BA2A4651A2}"/>
  </bookViews>
  <sheets>
    <sheet name="df_rand_MP_META_sorted__EPCI_8_" sheetId="1" r:id="rId1"/>
  </sheets>
  <calcPr calcId="0"/>
</workbook>
</file>

<file path=xl/calcChain.xml><?xml version="1.0" encoding="utf-8"?>
<calcChain xmlns="http://schemas.openxmlformats.org/spreadsheetml/2006/main">
  <c r="B29" i="1" l="1"/>
  <c r="C29" i="1"/>
  <c r="D29" i="1"/>
  <c r="E29" i="1"/>
  <c r="F29" i="1"/>
  <c r="G29" i="1"/>
  <c r="H29" i="1"/>
  <c r="I29" i="1"/>
  <c r="J29" i="1"/>
  <c r="K29" i="1"/>
  <c r="L29" i="1"/>
  <c r="B30" i="1"/>
  <c r="C30" i="1"/>
  <c r="D30" i="1"/>
  <c r="E30" i="1"/>
  <c r="F30" i="1"/>
  <c r="G30" i="1"/>
  <c r="H30" i="1"/>
  <c r="I30" i="1"/>
  <c r="J30" i="1"/>
  <c r="K30" i="1"/>
</calcChain>
</file>

<file path=xl/sharedStrings.xml><?xml version="1.0" encoding="utf-8"?>
<sst xmlns="http://schemas.openxmlformats.org/spreadsheetml/2006/main" count="74" uniqueCount="40">
  <si>
    <t>log10pvFISH</t>
  </si>
  <si>
    <t>Median</t>
  </si>
  <si>
    <t>Average</t>
  </si>
  <si>
    <t>Median or Mean</t>
  </si>
  <si>
    <t>Different Muts per MP</t>
  </si>
  <si>
    <t>Different Regions per MP</t>
  </si>
  <si>
    <t>Different Muts per Region</t>
  </si>
  <si>
    <t>MP Mut ct per MPmut</t>
  </si>
  <si>
    <t>Total MP Mut Count per Region</t>
  </si>
  <si>
    <t>Total MP Mut Count per MP</t>
  </si>
  <si>
    <t>avg NonRBD AAct</t>
  </si>
  <si>
    <t>avg nonRBD rel</t>
  </si>
  <si>
    <t>Fishers Exact Test pval</t>
  </si>
  <si>
    <t>EPCI HQCS Ratio</t>
  </si>
  <si>
    <t xml:space="preserve">Total MP Count = 230 </t>
  </si>
  <si>
    <t>Real EPCI MP Statistics: Position-only</t>
  </si>
  <si>
    <t>Real/Simulated EPCI Ratios: Substitutions</t>
  </si>
  <si>
    <t>Real/Simulated Median</t>
  </si>
  <si>
    <t>Real/Simulated Mean</t>
  </si>
  <si>
    <t>Column Key</t>
  </si>
  <si>
    <t>The number of different mutations contained in a given mutation pattern</t>
  </si>
  <si>
    <t>The number of different regions contained in a given mutation pattern</t>
  </si>
  <si>
    <t>The number of different mutations contained within each region of a given mutation pattern</t>
  </si>
  <si>
    <t>The number of times a mutation appears in EPCI sequences possessing the given MP</t>
  </si>
  <si>
    <t>The total count of all all mutations within one MP region that are in EPCI sequences that possess the given MP</t>
  </si>
  <si>
    <t>Total count of all MP mutations that occur in EPCI sequences possessing a given MP</t>
  </si>
  <si>
    <t>Average number of non-RBD mutations in EPCI sequences possessing the MP</t>
  </si>
  <si>
    <t>Average number of non-RBD mutations in EPCI sequences possessing the MP relative to the EPCI average</t>
  </si>
  <si>
    <t>MP Stats for 100 APCI Datasets: Position-only</t>
  </si>
  <si>
    <t>Avg MPs per APCI run = 2.30</t>
  </si>
  <si>
    <t>Total ≥3-Region MP Count = 5</t>
  </si>
  <si>
    <t>Avg ≥3-Region MP Count per APCI Run = 0.05</t>
  </si>
  <si>
    <t>Total ≥4-Region MP Count = 1</t>
  </si>
  <si>
    <t>Avg ≥4-Region MP Count per APCI Run = 0.01</t>
  </si>
  <si>
    <t>Total MP Count = 34</t>
  </si>
  <si>
    <t>Total ≥3-Region MP Count = 26</t>
  </si>
  <si>
    <t>Total ≥4-Region MP Count = 11</t>
  </si>
  <si>
    <t>Total MPs involving ≥5 mutations = 20</t>
  </si>
  <si>
    <t>Total MPs involving ≥5 mutations = 0</t>
  </si>
  <si>
    <t>Avg MPs involving ≥5 mutations per APCI = 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</si>
</sst>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theme="1"/>
      <name val="Calibri (Body)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4"/>
      <color theme="1"/>
      <name val="Calibri (Body)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EEF83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4">
    <xf numFmtId="0" fontId="0" fillId="0" borderId="0" xfId="0"/>
    <xf numFmtId="11" fontId="0" fillId="0" borderId="0" xfId="0" applyNumberFormat="1"/>
    <xf numFmtId="2" fontId="0" fillId="0" borderId="0" xfId="0" applyNumberFormat="1"/>
    <xf numFmtId="1" fontId="0" fillId="0" borderId="0" xfId="0" applyNumberFormat="1"/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/>
    </xf>
    <xf numFmtId="0" fontId="19" fillId="33" borderId="18" xfId="0" applyFont="1" applyFill="1" applyBorder="1" applyAlignment="1">
      <alignment horizontal="center" vertical="center"/>
    </xf>
    <xf numFmtId="0" fontId="19" fillId="33" borderId="21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11" fontId="18" fillId="0" borderId="18" xfId="0" applyNumberFormat="1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0" fillId="0" borderId="25" xfId="0" applyBorder="1"/>
    <xf numFmtId="2" fontId="0" fillId="0" borderId="26" xfId="0" applyNumberFormat="1" applyBorder="1"/>
    <xf numFmtId="0" fontId="0" fillId="0" borderId="27" xfId="0" applyBorder="1"/>
    <xf numFmtId="2" fontId="0" fillId="0" borderId="28" xfId="0" applyNumberFormat="1" applyBorder="1"/>
    <xf numFmtId="11" fontId="0" fillId="0" borderId="28" xfId="0" applyNumberFormat="1" applyBorder="1"/>
    <xf numFmtId="2" fontId="0" fillId="0" borderId="29" xfId="0" applyNumberFormat="1" applyBorder="1"/>
    <xf numFmtId="0" fontId="16" fillId="0" borderId="23" xfId="0" applyFont="1" applyBorder="1" applyAlignment="1">
      <alignment horizontal="center" wrapText="1"/>
    </xf>
    <xf numFmtId="0" fontId="16" fillId="0" borderId="18" xfId="0" applyFont="1" applyBorder="1" applyAlignment="1">
      <alignment horizontal="center" wrapText="1"/>
    </xf>
    <xf numFmtId="2" fontId="16" fillId="0" borderId="18" xfId="0" applyNumberFormat="1" applyFont="1" applyBorder="1" applyAlignment="1">
      <alignment horizontal="center" wrapText="1"/>
    </xf>
    <xf numFmtId="2" fontId="16" fillId="0" borderId="24" xfId="0" applyNumberFormat="1" applyFont="1" applyBorder="1" applyAlignment="1">
      <alignment horizontal="center" wrapText="1"/>
    </xf>
    <xf numFmtId="166" fontId="0" fillId="0" borderId="28" xfId="0" applyNumberFormat="1" applyBorder="1"/>
    <xf numFmtId="0" fontId="22" fillId="0" borderId="13" xfId="0" applyFont="1" applyBorder="1" applyAlignment="1">
      <alignment horizontal="center" vertical="center"/>
    </xf>
    <xf numFmtId="2" fontId="16" fillId="0" borderId="18" xfId="0" applyNumberFormat="1" applyFont="1" applyBorder="1" applyAlignment="1">
      <alignment horizontal="center" vertical="center" wrapText="1"/>
    </xf>
    <xf numFmtId="2" fontId="16" fillId="0" borderId="24" xfId="0" applyNumberFormat="1" applyFont="1" applyBorder="1" applyAlignment="1">
      <alignment horizontal="center" vertical="center" wrapText="1"/>
    </xf>
    <xf numFmtId="0" fontId="0" fillId="0" borderId="29" xfId="0" applyBorder="1"/>
    <xf numFmtId="0" fontId="21" fillId="0" borderId="16" xfId="0" applyFont="1" applyBorder="1" applyAlignment="1">
      <alignment vertical="center"/>
    </xf>
    <xf numFmtId="0" fontId="23" fillId="0" borderId="10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16" fillId="0" borderId="16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30" xfId="0" applyBorder="1" applyAlignment="1">
      <alignment vertical="center"/>
    </xf>
    <xf numFmtId="0" fontId="16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vertical="center"/>
    </xf>
    <xf numFmtId="0" fontId="0" fillId="0" borderId="22" xfId="0" applyBorder="1" applyAlignment="1">
      <alignment vertical="center"/>
    </xf>
    <xf numFmtId="0" fontId="22" fillId="0" borderId="14" xfId="0" applyFont="1" applyBorder="1" applyAlignment="1">
      <alignment horizontal="center" vertical="center"/>
    </xf>
    <xf numFmtId="0" fontId="21" fillId="0" borderId="0" xfId="0" applyFont="1" applyBorder="1" applyAlignment="1">
      <alignment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2" fillId="0" borderId="16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2" fontId="0" fillId="0" borderId="27" xfId="0" applyNumberFormat="1" applyBorder="1"/>
    <xf numFmtId="0" fontId="19" fillId="34" borderId="13" xfId="0" applyFont="1" applyFill="1" applyBorder="1" applyAlignment="1">
      <alignment horizontal="center" vertical="center"/>
    </xf>
    <xf numFmtId="0" fontId="19" fillId="34" borderId="14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25" fillId="35" borderId="13" xfId="0" applyFont="1" applyFill="1" applyBorder="1" applyAlignment="1">
      <alignment horizontal="center" vertical="center"/>
    </xf>
    <xf numFmtId="0" fontId="20" fillId="35" borderId="14" xfId="0" applyFont="1" applyFill="1" applyBorder="1" applyAlignment="1">
      <alignment horizontal="center" vertical="center"/>
    </xf>
    <xf numFmtId="0" fontId="20" fillId="35" borderId="15" xfId="0" applyFont="1" applyFill="1" applyBorder="1" applyAlignment="1">
      <alignment horizontal="center" vertical="center"/>
    </xf>
    <xf numFmtId="0" fontId="19" fillId="33" borderId="19" xfId="0" applyFont="1" applyFill="1" applyBorder="1" applyAlignment="1">
      <alignment horizontal="center" vertical="center"/>
    </xf>
    <xf numFmtId="0" fontId="19" fillId="33" borderId="20" xfId="0" applyFont="1" applyFill="1" applyBorder="1" applyAlignment="1">
      <alignment horizontal="center" vertical="center"/>
    </xf>
    <xf numFmtId="0" fontId="19" fillId="33" borderId="22" xfId="0" applyFont="1" applyFill="1" applyBorder="1" applyAlignment="1">
      <alignment horizontal="center" vertical="center"/>
    </xf>
    <xf numFmtId="0" fontId="19" fillId="34" borderId="17" xfId="0" applyFont="1" applyFill="1" applyBorder="1" applyAlignment="1">
      <alignment horizontal="center" vertical="center"/>
    </xf>
    <xf numFmtId="0" fontId="19" fillId="34" borderId="18" xfId="0" applyFont="1" applyFill="1" applyBorder="1" applyAlignment="1">
      <alignment horizontal="center" vertical="center"/>
    </xf>
    <xf numFmtId="0" fontId="19" fillId="34" borderId="21" xfId="0" applyFont="1" applyFill="1" applyBorder="1" applyAlignment="1">
      <alignment horizontal="center" vertical="center"/>
    </xf>
    <xf numFmtId="0" fontId="25" fillId="35" borderId="17" xfId="0" applyFont="1" applyFill="1" applyBorder="1" applyAlignment="1">
      <alignment horizontal="center" vertical="center"/>
    </xf>
    <xf numFmtId="0" fontId="20" fillId="35" borderId="18" xfId="0" applyFont="1" applyFill="1" applyBorder="1" applyAlignment="1">
      <alignment horizontal="center" vertical="center"/>
    </xf>
    <xf numFmtId="0" fontId="20" fillId="35" borderId="21" xfId="0" applyFont="1" applyFill="1" applyBorder="1" applyAlignment="1">
      <alignment horizontal="center" vertical="center"/>
    </xf>
    <xf numFmtId="0" fontId="19" fillId="34" borderId="19" xfId="0" applyFont="1" applyFill="1" applyBorder="1" applyAlignment="1">
      <alignment horizontal="center"/>
    </xf>
    <xf numFmtId="0" fontId="19" fillId="34" borderId="20" xfId="0" applyFont="1" applyFill="1" applyBorder="1" applyAlignment="1">
      <alignment horizontal="center"/>
    </xf>
    <xf numFmtId="0" fontId="19" fillId="34" borderId="22" xfId="0" applyFont="1" applyFill="1" applyBorder="1" applyAlignment="1">
      <alignment horizontal="center"/>
    </xf>
    <xf numFmtId="0" fontId="19" fillId="35" borderId="19" xfId="0" applyFont="1" applyFill="1" applyBorder="1" applyAlignment="1">
      <alignment horizontal="center"/>
    </xf>
    <xf numFmtId="0" fontId="19" fillId="35" borderId="20" xfId="0" applyFont="1" applyFill="1" applyBorder="1" applyAlignment="1">
      <alignment horizontal="center"/>
    </xf>
    <xf numFmtId="0" fontId="19" fillId="35" borderId="22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5" fillId="36" borderId="13" xfId="0" applyFont="1" applyFill="1" applyBorder="1" applyAlignment="1">
      <alignment horizontal="center" vertical="center"/>
    </xf>
    <xf numFmtId="0" fontId="25" fillId="36" borderId="14" xfId="0" applyFont="1" applyFill="1" applyBorder="1" applyAlignment="1">
      <alignment horizontal="center" vertical="center"/>
    </xf>
    <xf numFmtId="0" fontId="25" fillId="36" borderId="15" xfId="0" applyFont="1" applyFill="1" applyBorder="1" applyAlignment="1">
      <alignment horizontal="center" vertical="center"/>
    </xf>
    <xf numFmtId="0" fontId="19" fillId="36" borderId="17" xfId="0" applyFont="1" applyFill="1" applyBorder="1" applyAlignment="1">
      <alignment horizontal="center"/>
    </xf>
    <xf numFmtId="0" fontId="19" fillId="36" borderId="18" xfId="0" applyFont="1" applyFill="1" applyBorder="1" applyAlignment="1">
      <alignment horizontal="center"/>
    </xf>
    <xf numFmtId="0" fontId="19" fillId="36" borderId="21" xfId="0" applyFont="1" applyFill="1" applyBorder="1" applyAlignment="1">
      <alignment horizontal="center"/>
    </xf>
    <xf numFmtId="0" fontId="19" fillId="36" borderId="19" xfId="0" applyFont="1" applyFill="1" applyBorder="1" applyAlignment="1">
      <alignment horizontal="center"/>
    </xf>
    <xf numFmtId="0" fontId="19" fillId="36" borderId="20" xfId="0" applyFont="1" applyFill="1" applyBorder="1" applyAlignment="1">
      <alignment horizontal="center"/>
    </xf>
    <xf numFmtId="0" fontId="19" fillId="36" borderId="2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EEF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F6AA5-359F-3342-9D59-C1C42CFD5B69}">
  <sheetPr codeName="Sheet1"/>
  <dimension ref="A1:W31"/>
  <sheetViews>
    <sheetView tabSelected="1" workbookViewId="0">
      <selection activeCell="C25" sqref="C25:H25"/>
    </sheetView>
  </sheetViews>
  <sheetFormatPr baseColWidth="10" defaultRowHeight="16" x14ac:dyDescent="0.2"/>
  <cols>
    <col min="1" max="1" width="21" customWidth="1"/>
    <col min="2" max="5" width="8" customWidth="1"/>
    <col min="6" max="6" width="9.6640625" customWidth="1"/>
    <col min="7" max="7" width="9.1640625" customWidth="1"/>
    <col min="8" max="8" width="8" customWidth="1"/>
    <col min="9" max="9" width="8.5" customWidth="1"/>
    <col min="10" max="10" width="9.1640625" customWidth="1"/>
    <col min="11" max="11" width="8" customWidth="1"/>
    <col min="12" max="12" width="9.6640625" style="1" customWidth="1"/>
    <col min="13" max="13" width="6.33203125" customWidth="1"/>
    <col min="14" max="14" width="27" customWidth="1"/>
    <col min="23" max="23" width="5.1640625" customWidth="1"/>
  </cols>
  <sheetData>
    <row r="1" spans="1:23" s="5" customFormat="1" ht="41" customHeight="1" thickBot="1" x14ac:dyDescent="0.25">
      <c r="A1" s="9" t="s">
        <v>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31"/>
      <c r="N1" s="42"/>
      <c r="O1" s="4"/>
    </row>
    <row r="2" spans="1:23" ht="65" thickBot="1" x14ac:dyDescent="0.25">
      <c r="A2" s="11" t="s">
        <v>3</v>
      </c>
      <c r="B2" s="12" t="s">
        <v>4</v>
      </c>
      <c r="C2" s="12" t="s">
        <v>5</v>
      </c>
      <c r="D2" s="12" t="s">
        <v>6</v>
      </c>
      <c r="E2" s="13" t="s">
        <v>7</v>
      </c>
      <c r="F2" s="12" t="s">
        <v>8</v>
      </c>
      <c r="G2" s="12" t="s">
        <v>9</v>
      </c>
      <c r="H2" s="13" t="s">
        <v>10</v>
      </c>
      <c r="I2" s="13" t="s">
        <v>11</v>
      </c>
      <c r="J2" s="14" t="s">
        <v>12</v>
      </c>
      <c r="K2" s="13" t="s">
        <v>0</v>
      </c>
      <c r="L2" s="15" t="s">
        <v>13</v>
      </c>
    </row>
    <row r="3" spans="1:23" ht="26" x14ac:dyDescent="0.3">
      <c r="A3" s="16" t="s">
        <v>1</v>
      </c>
      <c r="B3" s="3">
        <v>5</v>
      </c>
      <c r="C3" s="3">
        <v>3</v>
      </c>
      <c r="D3" s="3">
        <v>1</v>
      </c>
      <c r="E3" s="3">
        <v>9</v>
      </c>
      <c r="F3" s="3">
        <v>22</v>
      </c>
      <c r="G3" s="3">
        <v>80</v>
      </c>
      <c r="H3" s="2">
        <v>18.899999999999999</v>
      </c>
      <c r="I3" s="2">
        <v>1.23</v>
      </c>
      <c r="J3" s="1">
        <v>4.355E-7</v>
      </c>
      <c r="K3" s="2">
        <v>6.36</v>
      </c>
      <c r="L3" s="17">
        <v>4.32</v>
      </c>
      <c r="N3" s="32" t="s">
        <v>19</v>
      </c>
      <c r="O3" s="33"/>
      <c r="P3" s="33"/>
      <c r="Q3" s="33"/>
      <c r="R3" s="33"/>
      <c r="S3" s="33"/>
      <c r="T3" s="33"/>
      <c r="U3" s="33"/>
      <c r="V3" s="33"/>
      <c r="W3" s="34"/>
    </row>
    <row r="4" spans="1:23" ht="19" customHeight="1" x14ac:dyDescent="0.2">
      <c r="A4" s="18" t="s">
        <v>2</v>
      </c>
      <c r="B4" s="19">
        <v>7.6470588235294104</v>
      </c>
      <c r="C4" s="19">
        <v>3.7647058823529398</v>
      </c>
      <c r="D4" s="19">
        <v>2.03125</v>
      </c>
      <c r="E4" s="19">
        <v>16.930769230769201</v>
      </c>
      <c r="F4" s="19">
        <v>34.390625</v>
      </c>
      <c r="G4" s="19">
        <v>129.470588235294</v>
      </c>
      <c r="H4" s="19">
        <v>21.024705882352901</v>
      </c>
      <c r="I4" s="19">
        <v>1.3705882352941099</v>
      </c>
      <c r="J4" s="20">
        <v>6.7402511959828405E-4</v>
      </c>
      <c r="K4" s="19">
        <v>10.3729999999999</v>
      </c>
      <c r="L4" s="21"/>
      <c r="N4" s="35" t="s">
        <v>4</v>
      </c>
      <c r="O4" s="36" t="s">
        <v>20</v>
      </c>
      <c r="P4" s="36"/>
      <c r="Q4" s="36"/>
      <c r="R4" s="36"/>
      <c r="S4" s="36"/>
      <c r="T4" s="36"/>
      <c r="U4" s="36"/>
      <c r="V4" s="36"/>
      <c r="W4" s="37"/>
    </row>
    <row r="5" spans="1:23" ht="19" customHeight="1" thickBot="1" x14ac:dyDescent="0.25">
      <c r="N5" s="35" t="s">
        <v>5</v>
      </c>
      <c r="O5" s="36" t="s">
        <v>21</v>
      </c>
      <c r="P5" s="36"/>
      <c r="Q5" s="36"/>
      <c r="R5" s="36"/>
      <c r="S5" s="36"/>
      <c r="T5" s="36"/>
      <c r="U5" s="36"/>
      <c r="V5" s="36"/>
      <c r="W5" s="37"/>
    </row>
    <row r="6" spans="1:23" ht="19" customHeight="1" thickBot="1" x14ac:dyDescent="0.25">
      <c r="C6" s="6" t="s">
        <v>34</v>
      </c>
      <c r="D6" s="7"/>
      <c r="E6" s="7"/>
      <c r="F6" s="7"/>
      <c r="G6" s="7"/>
      <c r="H6" s="8"/>
      <c r="N6" s="35" t="s">
        <v>6</v>
      </c>
      <c r="O6" s="36" t="s">
        <v>22</v>
      </c>
      <c r="P6" s="36"/>
      <c r="Q6" s="36"/>
      <c r="R6" s="36"/>
      <c r="S6" s="36"/>
      <c r="T6" s="36"/>
      <c r="U6" s="36"/>
      <c r="V6" s="36"/>
      <c r="W6" s="37"/>
    </row>
    <row r="7" spans="1:23" ht="19" customHeight="1" thickBot="1" x14ac:dyDescent="0.25">
      <c r="C7" s="52" t="s">
        <v>35</v>
      </c>
      <c r="D7" s="53"/>
      <c r="E7" s="53"/>
      <c r="F7" s="53"/>
      <c r="G7" s="53"/>
      <c r="H7" s="54"/>
      <c r="N7" s="35" t="s">
        <v>7</v>
      </c>
      <c r="O7" s="36" t="s">
        <v>23</v>
      </c>
      <c r="P7" s="36"/>
      <c r="Q7" s="36"/>
      <c r="R7" s="36"/>
      <c r="S7" s="36"/>
      <c r="T7" s="36"/>
      <c r="U7" s="36"/>
      <c r="V7" s="36"/>
      <c r="W7" s="37"/>
    </row>
    <row r="8" spans="1:23" ht="19" customHeight="1" thickBot="1" x14ac:dyDescent="0.25">
      <c r="C8" s="55" t="s">
        <v>36</v>
      </c>
      <c r="D8" s="56"/>
      <c r="E8" s="56"/>
      <c r="F8" s="56"/>
      <c r="G8" s="56"/>
      <c r="H8" s="57"/>
      <c r="N8" s="35" t="s">
        <v>8</v>
      </c>
      <c r="O8" s="36" t="s">
        <v>24</v>
      </c>
      <c r="P8" s="36"/>
      <c r="Q8" s="36"/>
      <c r="R8" s="36"/>
      <c r="S8" s="36"/>
      <c r="T8" s="36"/>
      <c r="U8" s="36"/>
      <c r="V8" s="36"/>
      <c r="W8" s="37"/>
    </row>
    <row r="9" spans="1:23" ht="19" customHeight="1" thickBot="1" x14ac:dyDescent="0.25">
      <c r="C9" s="75" t="s">
        <v>37</v>
      </c>
      <c r="D9" s="76"/>
      <c r="E9" s="76"/>
      <c r="F9" s="76"/>
      <c r="G9" s="76"/>
      <c r="H9" s="77"/>
      <c r="N9" s="35" t="s">
        <v>9</v>
      </c>
      <c r="O9" s="36" t="s">
        <v>25</v>
      </c>
      <c r="P9" s="36"/>
      <c r="Q9" s="36"/>
      <c r="R9" s="36"/>
      <c r="S9" s="36"/>
      <c r="T9" s="36"/>
      <c r="U9" s="36"/>
      <c r="V9" s="36"/>
      <c r="W9" s="37"/>
    </row>
    <row r="10" spans="1:23" ht="19" customHeight="1" x14ac:dyDescent="0.2">
      <c r="C10" s="73"/>
      <c r="D10" s="74"/>
      <c r="E10" s="74"/>
      <c r="F10" s="74"/>
      <c r="G10" s="74"/>
      <c r="H10" s="74"/>
      <c r="N10" s="35" t="s">
        <v>10</v>
      </c>
      <c r="O10" s="36" t="s">
        <v>26</v>
      </c>
      <c r="P10" s="36"/>
      <c r="Q10" s="36"/>
      <c r="R10" s="36"/>
      <c r="S10" s="36"/>
      <c r="T10" s="36"/>
      <c r="U10" s="36"/>
      <c r="V10" s="36"/>
      <c r="W10" s="37"/>
    </row>
    <row r="11" spans="1:23" ht="19" customHeight="1" thickBot="1" x14ac:dyDescent="0.25">
      <c r="L11"/>
      <c r="M11" s="2"/>
      <c r="N11" s="38" t="s">
        <v>11</v>
      </c>
      <c r="O11" s="39" t="s">
        <v>27</v>
      </c>
      <c r="P11" s="39"/>
      <c r="Q11" s="39"/>
      <c r="R11" s="39"/>
      <c r="S11" s="39"/>
      <c r="T11" s="39"/>
      <c r="U11" s="39"/>
      <c r="V11" s="39"/>
      <c r="W11" s="40"/>
    </row>
    <row r="12" spans="1:23" ht="16" customHeight="1" x14ac:dyDescent="0.2">
      <c r="A12" s="43" t="s">
        <v>28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7"/>
      <c r="M12" s="31"/>
    </row>
    <row r="13" spans="1:23" ht="17" customHeight="1" thickBot="1" x14ac:dyDescent="0.25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8"/>
      <c r="M13" s="31"/>
    </row>
    <row r="14" spans="1:23" ht="68" x14ac:dyDescent="0.2">
      <c r="A14" s="22" t="s">
        <v>3</v>
      </c>
      <c r="B14" s="23" t="s">
        <v>4</v>
      </c>
      <c r="C14" s="23" t="s">
        <v>5</v>
      </c>
      <c r="D14" s="23" t="s">
        <v>6</v>
      </c>
      <c r="E14" s="23" t="s">
        <v>7</v>
      </c>
      <c r="F14" s="23" t="s">
        <v>8</v>
      </c>
      <c r="G14" s="23" t="s">
        <v>9</v>
      </c>
      <c r="H14" s="23" t="s">
        <v>10</v>
      </c>
      <c r="I14" s="23" t="s">
        <v>11</v>
      </c>
      <c r="J14" s="23" t="s">
        <v>12</v>
      </c>
      <c r="K14" s="24" t="s">
        <v>0</v>
      </c>
      <c r="L14" s="25" t="s">
        <v>13</v>
      </c>
    </row>
    <row r="15" spans="1:23" x14ac:dyDescent="0.2">
      <c r="A15" s="16" t="s">
        <v>1</v>
      </c>
      <c r="B15" s="3">
        <v>2</v>
      </c>
      <c r="C15" s="3">
        <v>2</v>
      </c>
      <c r="D15" s="3">
        <v>1</v>
      </c>
      <c r="E15" s="3">
        <v>5</v>
      </c>
      <c r="F15" s="3">
        <v>5</v>
      </c>
      <c r="G15" s="3">
        <v>11</v>
      </c>
      <c r="H15" s="2">
        <v>22.184999999999999</v>
      </c>
      <c r="I15" s="2">
        <v>1.45</v>
      </c>
      <c r="J15" s="1">
        <v>4.1228966163984396E-6</v>
      </c>
      <c r="K15" s="2">
        <v>5.3847975552036296</v>
      </c>
      <c r="L15" s="17">
        <v>2.09</v>
      </c>
    </row>
    <row r="16" spans="1:23" x14ac:dyDescent="0.2">
      <c r="A16" s="18" t="s">
        <v>2</v>
      </c>
      <c r="B16" s="26">
        <v>2.0782608695652098</v>
      </c>
      <c r="C16" s="26">
        <v>2.02173913043478</v>
      </c>
      <c r="D16" s="26">
        <v>1.0279569892473099</v>
      </c>
      <c r="E16" s="19">
        <v>6.8619246861924603</v>
      </c>
      <c r="F16" s="19">
        <v>7.0537634408602097</v>
      </c>
      <c r="G16" s="19">
        <v>14.2608695652173</v>
      </c>
      <c r="H16" s="19">
        <v>22.518782608695599</v>
      </c>
      <c r="I16" s="19">
        <v>1.46769565217391</v>
      </c>
      <c r="J16" s="20">
        <v>9.0881944889018495E-5</v>
      </c>
      <c r="K16" s="19">
        <v>5.5315848714233198</v>
      </c>
      <c r="L16" s="21"/>
    </row>
    <row r="17" spans="1:14" ht="17" thickBot="1" x14ac:dyDescent="0.25">
      <c r="L17"/>
      <c r="M17" s="2"/>
      <c r="N17" s="2"/>
    </row>
    <row r="18" spans="1:14" ht="19" x14ac:dyDescent="0.2">
      <c r="C18" s="6" t="s">
        <v>14</v>
      </c>
      <c r="D18" s="7"/>
      <c r="E18" s="7"/>
      <c r="F18" s="7"/>
      <c r="G18" s="7"/>
      <c r="H18" s="8"/>
      <c r="L18"/>
      <c r="M18" s="2"/>
      <c r="N18" s="2"/>
    </row>
    <row r="19" spans="1:14" ht="20" thickBot="1" x14ac:dyDescent="0.25">
      <c r="C19" s="58" t="s">
        <v>29</v>
      </c>
      <c r="D19" s="59"/>
      <c r="E19" s="59"/>
      <c r="F19" s="59"/>
      <c r="G19" s="59"/>
      <c r="H19" s="60"/>
      <c r="L19"/>
      <c r="M19" s="2"/>
      <c r="N19" s="2"/>
    </row>
    <row r="20" spans="1:14" ht="19" x14ac:dyDescent="0.2">
      <c r="C20" s="61" t="s">
        <v>30</v>
      </c>
      <c r="D20" s="62"/>
      <c r="E20" s="62"/>
      <c r="F20" s="62"/>
      <c r="G20" s="62"/>
      <c r="H20" s="63"/>
      <c r="L20"/>
      <c r="M20" s="2"/>
      <c r="N20" s="2"/>
    </row>
    <row r="21" spans="1:14" ht="20" thickBot="1" x14ac:dyDescent="0.3">
      <c r="C21" s="67" t="s">
        <v>31</v>
      </c>
      <c r="D21" s="68"/>
      <c r="E21" s="68"/>
      <c r="F21" s="68"/>
      <c r="G21" s="68"/>
      <c r="H21" s="69"/>
      <c r="L21"/>
      <c r="M21" s="2"/>
      <c r="N21" s="2"/>
    </row>
    <row r="22" spans="1:14" ht="21" x14ac:dyDescent="0.2">
      <c r="C22" s="64" t="s">
        <v>32</v>
      </c>
      <c r="D22" s="65"/>
      <c r="E22" s="65"/>
      <c r="F22" s="65"/>
      <c r="G22" s="65"/>
      <c r="H22" s="66"/>
      <c r="L22"/>
      <c r="M22" s="2"/>
      <c r="N22" s="2"/>
    </row>
    <row r="23" spans="1:14" ht="20" thickBot="1" x14ac:dyDescent="0.3">
      <c r="C23" s="70" t="s">
        <v>33</v>
      </c>
      <c r="D23" s="71"/>
      <c r="E23" s="71"/>
      <c r="F23" s="71"/>
      <c r="G23" s="71"/>
      <c r="H23" s="72"/>
      <c r="L23"/>
      <c r="M23" s="2"/>
      <c r="N23" s="2"/>
    </row>
    <row r="24" spans="1:14" ht="19" x14ac:dyDescent="0.25">
      <c r="C24" s="78" t="s">
        <v>38</v>
      </c>
      <c r="D24" s="79"/>
      <c r="E24" s="79"/>
      <c r="F24" s="79"/>
      <c r="G24" s="79"/>
      <c r="H24" s="80"/>
      <c r="L24"/>
      <c r="M24" s="2"/>
      <c r="N24" s="2"/>
    </row>
    <row r="25" spans="1:14" ht="20" thickBot="1" x14ac:dyDescent="0.3">
      <c r="C25" s="81" t="s">
        <v>39</v>
      </c>
      <c r="D25" s="82"/>
      <c r="E25" s="82"/>
      <c r="F25" s="82"/>
      <c r="G25" s="82"/>
      <c r="H25" s="83"/>
      <c r="L25"/>
      <c r="M25" s="2"/>
      <c r="N25" s="2"/>
    </row>
    <row r="26" spans="1:14" ht="17" thickBot="1" x14ac:dyDescent="0.25">
      <c r="L26"/>
      <c r="M26" s="2"/>
      <c r="N26" s="2"/>
    </row>
    <row r="27" spans="1:14" ht="35" thickBot="1" x14ac:dyDescent="0.25">
      <c r="A27" s="27" t="s">
        <v>16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9"/>
      <c r="N27" s="50"/>
    </row>
    <row r="28" spans="1:14" ht="62" customHeight="1" x14ac:dyDescent="0.2">
      <c r="A28" s="11" t="s">
        <v>3</v>
      </c>
      <c r="B28" s="12" t="s">
        <v>4</v>
      </c>
      <c r="C28" s="12" t="s">
        <v>5</v>
      </c>
      <c r="D28" s="12" t="s">
        <v>6</v>
      </c>
      <c r="E28" s="12" t="s">
        <v>7</v>
      </c>
      <c r="F28" s="12" t="s">
        <v>8</v>
      </c>
      <c r="G28" s="12" t="s">
        <v>9</v>
      </c>
      <c r="H28" s="13" t="s">
        <v>10</v>
      </c>
      <c r="I28" s="13" t="s">
        <v>11</v>
      </c>
      <c r="J28" s="13" t="s">
        <v>12</v>
      </c>
      <c r="K28" s="28" t="s">
        <v>0</v>
      </c>
      <c r="L28" s="29" t="s">
        <v>13</v>
      </c>
    </row>
    <row r="29" spans="1:14" x14ac:dyDescent="0.2">
      <c r="A29" s="16" t="s">
        <v>17</v>
      </c>
      <c r="B29" s="16">
        <f>B3/B15</f>
        <v>2.5</v>
      </c>
      <c r="C29">
        <f>C3/C15</f>
        <v>1.5</v>
      </c>
      <c r="D29">
        <f>D3/D15</f>
        <v>1</v>
      </c>
      <c r="E29">
        <f>E3/E15</f>
        <v>1.8</v>
      </c>
      <c r="F29">
        <f>F3/F15</f>
        <v>4.4000000000000004</v>
      </c>
      <c r="G29" s="2">
        <f>G3/G15</f>
        <v>7.2727272727272725</v>
      </c>
      <c r="H29" s="2">
        <f>H3/H15</f>
        <v>0.85192697768762671</v>
      </c>
      <c r="I29" s="2">
        <f>I3/I15</f>
        <v>0.84827586206896555</v>
      </c>
      <c r="J29" s="2">
        <f>J3/J15</f>
        <v>0.1056296192991692</v>
      </c>
      <c r="K29" s="2">
        <f>K3/K15</f>
        <v>1.1811028984467538</v>
      </c>
      <c r="L29" s="17">
        <f>L3/L15</f>
        <v>2.0669856459330145</v>
      </c>
    </row>
    <row r="30" spans="1:14" x14ac:dyDescent="0.2">
      <c r="A30" s="18" t="s">
        <v>18</v>
      </c>
      <c r="B30" s="51">
        <f>B4/B16</f>
        <v>3.6795471326606082</v>
      </c>
      <c r="C30" s="19">
        <f>C4/C16</f>
        <v>1.8621125869702737</v>
      </c>
      <c r="D30" s="19">
        <f>D4/D16</f>
        <v>1.9760067991631836</v>
      </c>
      <c r="E30" s="19">
        <f>E4/E16</f>
        <v>2.4673499061913682</v>
      </c>
      <c r="F30" s="19">
        <f>F4/F16</f>
        <v>4.8755001905487845</v>
      </c>
      <c r="G30" s="19">
        <f>G4/G16</f>
        <v>9.0787302725968928</v>
      </c>
      <c r="H30" s="19">
        <f>H4/H16</f>
        <v>0.93365197611678341</v>
      </c>
      <c r="I30" s="19">
        <f>I4/I16</f>
        <v>0.9338368164162868</v>
      </c>
      <c r="J30" s="19">
        <f>J4/J16</f>
        <v>7.4164909259080822</v>
      </c>
      <c r="K30" s="19">
        <f>K4/K16</f>
        <v>1.875231103040248</v>
      </c>
      <c r="L30" s="30"/>
    </row>
    <row r="31" spans="1:14" x14ac:dyDescent="0.2">
      <c r="L31"/>
      <c r="M31" s="2"/>
      <c r="N31" s="2"/>
    </row>
  </sheetData>
  <mergeCells count="24">
    <mergeCell ref="A12:L13"/>
    <mergeCell ref="A27:L27"/>
    <mergeCell ref="C18:H18"/>
    <mergeCell ref="C19:H19"/>
    <mergeCell ref="C20:H20"/>
    <mergeCell ref="C22:H22"/>
    <mergeCell ref="C21:H21"/>
    <mergeCell ref="C24:H24"/>
    <mergeCell ref="C25:H25"/>
    <mergeCell ref="C23:H23"/>
    <mergeCell ref="O6:W6"/>
    <mergeCell ref="O7:W7"/>
    <mergeCell ref="O8:W8"/>
    <mergeCell ref="O9:W9"/>
    <mergeCell ref="O10:W10"/>
    <mergeCell ref="O11:W11"/>
    <mergeCell ref="A1:L1"/>
    <mergeCell ref="N3:W3"/>
    <mergeCell ref="O4:W4"/>
    <mergeCell ref="O5:W5"/>
    <mergeCell ref="C6:H6"/>
    <mergeCell ref="C7:H7"/>
    <mergeCell ref="C8:H8"/>
    <mergeCell ref="C9:H9"/>
  </mergeCells>
  <pageMargins left="0.75" right="0.75" top="1" bottom="1" header="0.5" footer="0.5"/>
</worksheet>
</file>