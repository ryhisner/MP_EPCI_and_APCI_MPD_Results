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ryhisner/mp_pos_only_FAKE_2026_03_09_9AM__EPCI_8_10_95__HQCS_5_1_5__minFsh5_grpFsh_2_RANDOM/"/>
    </mc:Choice>
  </mc:AlternateContent>
  <xr:revisionPtr revIDLastSave="0" documentId="13_ncr:1_{0CCF95A6-85AE-B043-A842-A93DFD43ED31}" xr6:coauthVersionLast="47" xr6:coauthVersionMax="47" xr10:uidLastSave="{00000000-0000-0000-0000-000000000000}"/>
  <bookViews>
    <workbookView xWindow="580" yWindow="760" windowWidth="28560" windowHeight="17500" activeTab="1" xr2:uid="{38668E48-A43A-514E-AC1D-5A5B2EBBD092}"/>
  </bookViews>
  <sheets>
    <sheet name="FINAL_df_fake_MP_META_META_100R" sheetId="1" r:id="rId1"/>
    <sheet name="Column Name Ke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X3" i="1" l="1"/>
  <c r="X4" i="1" s="1"/>
  <c r="X5" i="1" s="1"/>
  <c r="X6" i="1" s="1"/>
  <c r="X7" i="1" s="1"/>
  <c r="X8" i="1" s="1"/>
  <c r="X9" i="1" s="1"/>
  <c r="X10" i="1" s="1"/>
  <c r="X11" i="1" s="1"/>
  <c r="X12" i="1" s="1"/>
  <c r="X13" i="1" s="1"/>
  <c r="X14" i="1" s="1"/>
  <c r="X15" i="1" s="1"/>
  <c r="X16" i="1" s="1"/>
  <c r="X17" i="1" s="1"/>
  <c r="X18" i="1" s="1"/>
  <c r="X19" i="1" s="1"/>
  <c r="X20" i="1" s="1"/>
  <c r="X21" i="1" s="1"/>
  <c r="X22" i="1" s="1"/>
  <c r="X23" i="1" s="1"/>
  <c r="X24" i="1" s="1"/>
  <c r="X25" i="1" s="1"/>
  <c r="X26" i="1" s="1"/>
  <c r="X27" i="1" s="1"/>
  <c r="X28" i="1" s="1"/>
  <c r="X29" i="1" s="1"/>
  <c r="X30" i="1" s="1"/>
  <c r="X31" i="1" s="1"/>
  <c r="X32" i="1" s="1"/>
  <c r="X33" i="1" s="1"/>
  <c r="X34" i="1" s="1"/>
  <c r="X35" i="1" s="1"/>
  <c r="X36" i="1" s="1"/>
  <c r="X37" i="1" s="1"/>
  <c r="X38" i="1" s="1"/>
  <c r="X39" i="1" s="1"/>
  <c r="X40" i="1" s="1"/>
  <c r="X41" i="1" s="1"/>
  <c r="X42" i="1" s="1"/>
  <c r="X43" i="1" s="1"/>
  <c r="X44" i="1" s="1"/>
  <c r="X45" i="1" s="1"/>
  <c r="X46" i="1" s="1"/>
  <c r="X47" i="1" s="1"/>
  <c r="X48" i="1" s="1"/>
  <c r="X49" i="1" s="1"/>
  <c r="X50" i="1" s="1"/>
  <c r="X51" i="1" s="1"/>
  <c r="X52" i="1" s="1"/>
  <c r="X53" i="1" s="1"/>
  <c r="X54" i="1" s="1"/>
  <c r="X55" i="1" s="1"/>
  <c r="X56" i="1" s="1"/>
  <c r="X57" i="1" s="1"/>
  <c r="X58" i="1" s="1"/>
  <c r="X59" i="1" s="1"/>
  <c r="X60" i="1" s="1"/>
  <c r="X61" i="1" s="1"/>
  <c r="X62" i="1" s="1"/>
  <c r="X63" i="1" s="1"/>
  <c r="X64" i="1" s="1"/>
  <c r="X65" i="1" s="1"/>
  <c r="X66" i="1" s="1"/>
  <c r="X67" i="1" s="1"/>
  <c r="X68" i="1" s="1"/>
  <c r="X69" i="1" s="1"/>
  <c r="X70" i="1" s="1"/>
  <c r="X71" i="1" s="1"/>
  <c r="X72" i="1" s="1"/>
  <c r="X73" i="1" s="1"/>
  <c r="X74" i="1" s="1"/>
  <c r="X75" i="1" s="1"/>
  <c r="X76" i="1" s="1"/>
  <c r="X77" i="1" s="1"/>
  <c r="X78" i="1" s="1"/>
  <c r="X79" i="1" s="1"/>
  <c r="X80" i="1" s="1"/>
  <c r="X81" i="1" s="1"/>
  <c r="X82" i="1" s="1"/>
  <c r="X83" i="1" s="1"/>
  <c r="X84" i="1" s="1"/>
  <c r="X85" i="1" s="1"/>
  <c r="X86" i="1" s="1"/>
  <c r="X87" i="1" s="1"/>
  <c r="X88" i="1" s="1"/>
  <c r="X89" i="1" s="1"/>
  <c r="X90" i="1" s="1"/>
  <c r="X91" i="1" s="1"/>
  <c r="X92" i="1" s="1"/>
  <c r="X93" i="1" s="1"/>
  <c r="X94" i="1" s="1"/>
  <c r="X95" i="1" s="1"/>
  <c r="X96" i="1" s="1"/>
  <c r="X97" i="1" s="1"/>
  <c r="X98" i="1" s="1"/>
  <c r="X99" i="1" s="1"/>
  <c r="X100" i="1" s="1"/>
  <c r="X101" i="1" s="1"/>
  <c r="X102" i="1" s="1"/>
  <c r="X103" i="1" s="1"/>
  <c r="X104" i="1" s="1"/>
  <c r="X105" i="1" s="1"/>
  <c r="X106" i="1" s="1"/>
  <c r="X107" i="1" s="1"/>
  <c r="X108" i="1" s="1"/>
  <c r="X109" i="1" s="1"/>
  <c r="X110" i="1" s="1"/>
  <c r="X111" i="1" s="1"/>
  <c r="X112" i="1" s="1"/>
  <c r="X113" i="1" s="1"/>
  <c r="X114" i="1" s="1"/>
  <c r="X115" i="1" s="1"/>
  <c r="X116" i="1" s="1"/>
  <c r="X117" i="1" s="1"/>
  <c r="X118" i="1" s="1"/>
  <c r="X119" i="1" s="1"/>
  <c r="X120" i="1" s="1"/>
  <c r="X121" i="1" s="1"/>
  <c r="X122" i="1" s="1"/>
  <c r="X123" i="1" s="1"/>
  <c r="X124" i="1" s="1"/>
  <c r="X125" i="1" s="1"/>
  <c r="X126" i="1" s="1"/>
  <c r="X127" i="1" s="1"/>
  <c r="X128" i="1" s="1"/>
  <c r="X129" i="1" s="1"/>
  <c r="X130" i="1" s="1"/>
  <c r="X131" i="1" s="1"/>
  <c r="X132" i="1" s="1"/>
  <c r="X133" i="1" s="1"/>
  <c r="X134" i="1" s="1"/>
  <c r="X135" i="1" s="1"/>
  <c r="X136" i="1" s="1"/>
  <c r="X137" i="1" s="1"/>
  <c r="X138" i="1" s="1"/>
  <c r="X139" i="1" s="1"/>
  <c r="X140" i="1" s="1"/>
  <c r="X141" i="1" s="1"/>
  <c r="X142" i="1" s="1"/>
  <c r="X143" i="1" s="1"/>
  <c r="X144" i="1" s="1"/>
  <c r="X145" i="1" s="1"/>
  <c r="X146" i="1" s="1"/>
  <c r="X147" i="1" s="1"/>
  <c r="X148" i="1" s="1"/>
  <c r="X149" i="1" s="1"/>
  <c r="X150" i="1" s="1"/>
  <c r="X151" i="1" s="1"/>
  <c r="X152" i="1" s="1"/>
  <c r="X153" i="1" s="1"/>
  <c r="X154" i="1" s="1"/>
  <c r="X155" i="1" s="1"/>
  <c r="X156" i="1" s="1"/>
  <c r="X157" i="1" s="1"/>
  <c r="X158" i="1" s="1"/>
  <c r="X159" i="1" s="1"/>
  <c r="X160" i="1" s="1"/>
  <c r="X161" i="1" s="1"/>
  <c r="X162" i="1" s="1"/>
  <c r="X163" i="1" s="1"/>
  <c r="X164" i="1" s="1"/>
  <c r="X165" i="1" s="1"/>
  <c r="X166" i="1" s="1"/>
  <c r="X167" i="1" s="1"/>
  <c r="X168" i="1" s="1"/>
  <c r="X169" i="1" s="1"/>
  <c r="X170" i="1" s="1"/>
  <c r="X171" i="1" s="1"/>
  <c r="X172" i="1" s="1"/>
  <c r="X173" i="1" s="1"/>
  <c r="X174" i="1" s="1"/>
  <c r="X175" i="1" s="1"/>
  <c r="X176" i="1" s="1"/>
  <c r="X177" i="1" s="1"/>
  <c r="X178" i="1" s="1"/>
  <c r="X179" i="1" s="1"/>
  <c r="X180" i="1" s="1"/>
  <c r="X181" i="1" s="1"/>
  <c r="X182" i="1" s="1"/>
  <c r="X183" i="1" s="1"/>
  <c r="X184" i="1" s="1"/>
  <c r="X185" i="1" s="1"/>
  <c r="X186" i="1" s="1"/>
  <c r="X187" i="1" s="1"/>
  <c r="X188" i="1" s="1"/>
  <c r="X189" i="1" s="1"/>
  <c r="X190" i="1" s="1"/>
  <c r="X191" i="1" s="1"/>
  <c r="X192" i="1" s="1"/>
  <c r="X193" i="1" s="1"/>
  <c r="X194" i="1" s="1"/>
  <c r="X195" i="1" s="1"/>
  <c r="X196" i="1" s="1"/>
  <c r="X197" i="1" s="1"/>
  <c r="X198" i="1" s="1"/>
  <c r="X199" i="1" s="1"/>
  <c r="X200" i="1" s="1"/>
  <c r="X201" i="1" s="1"/>
  <c r="X202" i="1" s="1"/>
  <c r="X203" i="1" s="1"/>
  <c r="X204" i="1" s="1"/>
  <c r="X205" i="1" s="1"/>
  <c r="X206" i="1" s="1"/>
  <c r="X207" i="1" s="1"/>
  <c r="X208" i="1" s="1"/>
  <c r="X209" i="1" s="1"/>
  <c r="X210" i="1" s="1"/>
  <c r="X211" i="1" s="1"/>
  <c r="X212" i="1" s="1"/>
  <c r="X213" i="1" s="1"/>
  <c r="X214" i="1" s="1"/>
  <c r="X215" i="1" s="1"/>
  <c r="X216" i="1" s="1"/>
  <c r="X217" i="1" s="1"/>
  <c r="X218" i="1" s="1"/>
  <c r="X219" i="1" s="1"/>
  <c r="X220" i="1" s="1"/>
  <c r="X221" i="1" s="1"/>
  <c r="X222" i="1" s="1"/>
  <c r="X223" i="1" s="1"/>
  <c r="X224" i="1" s="1"/>
  <c r="X225" i="1" s="1"/>
  <c r="X226" i="1" s="1"/>
  <c r="X227" i="1" s="1"/>
  <c r="X228" i="1" s="1"/>
  <c r="X229" i="1" s="1"/>
  <c r="X230" i="1" s="1"/>
  <c r="X231" i="1" s="1"/>
  <c r="X232" i="1" s="1"/>
  <c r="X233" i="1" s="1"/>
  <c r="X234" i="1" s="1"/>
  <c r="X235" i="1" s="1"/>
  <c r="X236" i="1" s="1"/>
  <c r="X237" i="1" s="1"/>
  <c r="X238" i="1" s="1"/>
  <c r="X239" i="1" s="1"/>
  <c r="X240" i="1" s="1"/>
  <c r="X241" i="1" s="1"/>
  <c r="X242" i="1" s="1"/>
  <c r="X243" i="1" s="1"/>
  <c r="X244" i="1" s="1"/>
  <c r="X245" i="1" s="1"/>
  <c r="X246" i="1" s="1"/>
  <c r="X247" i="1" s="1"/>
  <c r="X248" i="1" s="1"/>
  <c r="X249" i="1" s="1"/>
  <c r="X250" i="1" s="1"/>
  <c r="X251" i="1" s="1"/>
  <c r="X252" i="1" s="1"/>
  <c r="X253" i="1" s="1"/>
  <c r="X254" i="1" s="1"/>
  <c r="X255" i="1" s="1"/>
  <c r="X256" i="1" s="1"/>
  <c r="X257" i="1" s="1"/>
  <c r="X258" i="1" s="1"/>
  <c r="X259" i="1" s="1"/>
  <c r="X260" i="1" s="1"/>
  <c r="X261" i="1" s="1"/>
  <c r="X262" i="1" s="1"/>
  <c r="X263" i="1" s="1"/>
  <c r="X264" i="1" s="1"/>
  <c r="X265" i="1" s="1"/>
  <c r="X266" i="1" s="1"/>
  <c r="X267" i="1" s="1"/>
  <c r="X268" i="1" s="1"/>
  <c r="X269" i="1" s="1"/>
  <c r="X270" i="1" s="1"/>
  <c r="X271" i="1" s="1"/>
  <c r="X272" i="1" s="1"/>
  <c r="X273" i="1" s="1"/>
  <c r="X274" i="1" s="1"/>
  <c r="X275" i="1" s="1"/>
  <c r="X276" i="1" s="1"/>
  <c r="X277" i="1" s="1"/>
  <c r="X278" i="1" s="1"/>
  <c r="X279" i="1" s="1"/>
  <c r="X280" i="1" s="1"/>
  <c r="X281" i="1" s="1"/>
  <c r="X282" i="1" s="1"/>
  <c r="X283" i="1" s="1"/>
  <c r="X284" i="1" s="1"/>
  <c r="X285" i="1" s="1"/>
  <c r="X286" i="1" s="1"/>
  <c r="X287" i="1" s="1"/>
  <c r="X288" i="1" s="1"/>
  <c r="X289" i="1" s="1"/>
  <c r="X290" i="1" s="1"/>
  <c r="X291" i="1" s="1"/>
  <c r="X292" i="1" s="1"/>
  <c r="X293" i="1" s="1"/>
  <c r="X294" i="1" s="1"/>
  <c r="X295" i="1" s="1"/>
  <c r="X296" i="1" s="1"/>
  <c r="X297" i="1" s="1"/>
  <c r="X298" i="1" s="1"/>
  <c r="X299" i="1" s="1"/>
  <c r="X300" i="1" s="1"/>
  <c r="X301" i="1" s="1"/>
  <c r="X302" i="1" s="1"/>
  <c r="X303" i="1" s="1"/>
  <c r="X304" i="1" s="1"/>
  <c r="X305" i="1" s="1"/>
  <c r="X306" i="1" s="1"/>
  <c r="X307" i="1" s="1"/>
  <c r="X308" i="1" s="1"/>
  <c r="X309" i="1" s="1"/>
  <c r="X310" i="1" s="1"/>
  <c r="X311" i="1" s="1"/>
  <c r="X312" i="1" s="1"/>
  <c r="X313" i="1" s="1"/>
  <c r="X314" i="1" s="1"/>
  <c r="X315" i="1" s="1"/>
  <c r="X316" i="1" s="1"/>
  <c r="X317" i="1" s="1"/>
  <c r="X318" i="1" s="1"/>
  <c r="X319" i="1" s="1"/>
  <c r="X320" i="1" s="1"/>
  <c r="X321" i="1" s="1"/>
  <c r="X322" i="1" s="1"/>
  <c r="X323" i="1" s="1"/>
  <c r="X324" i="1" s="1"/>
  <c r="X325" i="1" s="1"/>
  <c r="X326" i="1" s="1"/>
  <c r="X327" i="1" s="1"/>
  <c r="X328" i="1" s="1"/>
  <c r="X329" i="1" s="1"/>
  <c r="X330" i="1" s="1"/>
  <c r="X331" i="1" s="1"/>
  <c r="X332" i="1" s="1"/>
  <c r="X333" i="1" s="1"/>
  <c r="X334" i="1" s="1"/>
  <c r="X335" i="1" s="1"/>
  <c r="X336" i="1" s="1"/>
  <c r="X337" i="1" s="1"/>
  <c r="X338" i="1" s="1"/>
  <c r="X339" i="1" s="1"/>
  <c r="X340" i="1" s="1"/>
  <c r="X341" i="1" s="1"/>
  <c r="X342" i="1" s="1"/>
  <c r="X343" i="1" s="1"/>
  <c r="X344" i="1" s="1"/>
  <c r="X345" i="1" s="1"/>
  <c r="X346" i="1" s="1"/>
  <c r="X347" i="1" s="1"/>
  <c r="X348" i="1" s="1"/>
  <c r="X349" i="1" s="1"/>
  <c r="X350" i="1" s="1"/>
  <c r="X351" i="1" s="1"/>
  <c r="X352" i="1" s="1"/>
  <c r="X353" i="1" s="1"/>
  <c r="X354" i="1" s="1"/>
  <c r="X355" i="1" s="1"/>
  <c r="X356" i="1" s="1"/>
  <c r="X357" i="1" s="1"/>
  <c r="X358" i="1" s="1"/>
  <c r="X359" i="1" s="1"/>
  <c r="X360" i="1" s="1"/>
  <c r="X361" i="1" s="1"/>
  <c r="X362" i="1" s="1"/>
  <c r="X363" i="1" s="1"/>
  <c r="X364" i="1" s="1"/>
  <c r="X365" i="1" s="1"/>
  <c r="X366" i="1" s="1"/>
  <c r="X367" i="1" s="1"/>
  <c r="X368" i="1" s="1"/>
  <c r="X369" i="1" s="1"/>
  <c r="X370" i="1" s="1"/>
  <c r="X371" i="1" s="1"/>
  <c r="X372" i="1" s="1"/>
  <c r="X373" i="1" s="1"/>
  <c r="X374" i="1" s="1"/>
  <c r="X375" i="1" s="1"/>
  <c r="X376" i="1" s="1"/>
  <c r="X377" i="1" s="1"/>
  <c r="X378" i="1" s="1"/>
  <c r="X379" i="1" s="1"/>
  <c r="X380" i="1" s="1"/>
  <c r="X381" i="1" s="1"/>
  <c r="X382" i="1" s="1"/>
  <c r="X383" i="1" s="1"/>
  <c r="X384" i="1" s="1"/>
  <c r="X385" i="1" s="1"/>
  <c r="X386" i="1" s="1"/>
  <c r="X387" i="1" s="1"/>
  <c r="X388" i="1" s="1"/>
  <c r="X389" i="1" s="1"/>
  <c r="X390" i="1" s="1"/>
  <c r="X391" i="1" s="1"/>
  <c r="X392" i="1" s="1"/>
  <c r="X393" i="1" s="1"/>
  <c r="X394" i="1" s="1"/>
  <c r="X395" i="1" s="1"/>
  <c r="X396" i="1" s="1"/>
  <c r="X397" i="1" s="1"/>
  <c r="X398" i="1" s="1"/>
  <c r="X399" i="1" s="1"/>
  <c r="X400" i="1" s="1"/>
  <c r="X401" i="1" s="1"/>
  <c r="X402" i="1" s="1"/>
  <c r="X403" i="1" s="1"/>
  <c r="X404" i="1" s="1"/>
  <c r="X405" i="1" s="1"/>
  <c r="X406" i="1" s="1"/>
  <c r="X407" i="1" s="1"/>
  <c r="X408" i="1" s="1"/>
  <c r="X409" i="1" s="1"/>
  <c r="X410" i="1" s="1"/>
  <c r="X411" i="1" s="1"/>
  <c r="X412" i="1" s="1"/>
  <c r="X413" i="1" s="1"/>
  <c r="X414" i="1" s="1"/>
  <c r="X415" i="1" s="1"/>
  <c r="X416" i="1" s="1"/>
  <c r="X417" i="1" s="1"/>
  <c r="X418" i="1" s="1"/>
  <c r="X419" i="1" s="1"/>
  <c r="X420" i="1" s="1"/>
  <c r="X421" i="1" s="1"/>
  <c r="X422" i="1" s="1"/>
  <c r="X423" i="1" s="1"/>
  <c r="X424" i="1" s="1"/>
  <c r="X425" i="1" s="1"/>
  <c r="X426" i="1" s="1"/>
  <c r="X427" i="1" s="1"/>
  <c r="X428" i="1" s="1"/>
  <c r="X429" i="1" s="1"/>
  <c r="X430" i="1" s="1"/>
  <c r="X431" i="1" s="1"/>
  <c r="X432" i="1" s="1"/>
  <c r="X433" i="1" s="1"/>
  <c r="X434" i="1" s="1"/>
  <c r="X435" i="1" s="1"/>
  <c r="X436" i="1" s="1"/>
  <c r="X437" i="1" s="1"/>
  <c r="X438" i="1" s="1"/>
  <c r="X439" i="1" s="1"/>
  <c r="X440" i="1" s="1"/>
  <c r="X441" i="1" s="1"/>
  <c r="X442" i="1" s="1"/>
  <c r="X443" i="1" s="1"/>
  <c r="X444" i="1" s="1"/>
  <c r="X445" i="1" s="1"/>
  <c r="X446" i="1" s="1"/>
  <c r="X447" i="1" s="1"/>
  <c r="X448" i="1" s="1"/>
  <c r="X449" i="1" s="1"/>
  <c r="X450" i="1" s="1"/>
  <c r="X451" i="1" s="1"/>
  <c r="X452" i="1" s="1"/>
  <c r="X453" i="1" s="1"/>
  <c r="X454" i="1" s="1"/>
  <c r="X455" i="1" s="1"/>
  <c r="X456" i="1" s="1"/>
  <c r="X457" i="1" s="1"/>
  <c r="X458" i="1" s="1"/>
  <c r="X459" i="1" s="1"/>
  <c r="X460" i="1" s="1"/>
  <c r="X461" i="1" s="1"/>
  <c r="X462" i="1" s="1"/>
  <c r="X463" i="1" s="1"/>
  <c r="X464" i="1" s="1"/>
  <c r="X465" i="1" s="1"/>
  <c r="X466" i="1" s="1"/>
  <c r="X467" i="1" s="1"/>
  <c r="X468" i="1" s="1"/>
  <c r="X469" i="1" s="1"/>
  <c r="X470" i="1" s="1"/>
  <c r="X471" i="1" s="1"/>
  <c r="X472" i="1" s="1"/>
  <c r="X473" i="1" s="1"/>
  <c r="X474" i="1" s="1"/>
  <c r="X475" i="1" s="1"/>
  <c r="X476" i="1" s="1"/>
  <c r="X477" i="1" s="1"/>
  <c r="X478" i="1" s="1"/>
  <c r="X479" i="1" s="1"/>
  <c r="W3" i="1"/>
  <c r="W4" i="1" s="1"/>
  <c r="W5" i="1" s="1"/>
  <c r="W6" i="1" s="1"/>
  <c r="W7" i="1" s="1"/>
  <c r="W8" i="1" s="1"/>
  <c r="W9" i="1" s="1"/>
  <c r="W10" i="1" s="1"/>
  <c r="W11" i="1" s="1"/>
  <c r="W12" i="1" s="1"/>
  <c r="W13" i="1" s="1"/>
  <c r="W14" i="1" s="1"/>
  <c r="W15" i="1" s="1"/>
  <c r="W16" i="1" s="1"/>
  <c r="W17" i="1" s="1"/>
  <c r="W18" i="1" s="1"/>
  <c r="W19" i="1" s="1"/>
  <c r="W20" i="1" s="1"/>
  <c r="W21" i="1" s="1"/>
  <c r="W22" i="1" s="1"/>
  <c r="W23" i="1" s="1"/>
  <c r="W24" i="1" s="1"/>
  <c r="W25" i="1" s="1"/>
  <c r="W26" i="1" s="1"/>
  <c r="W27" i="1" s="1"/>
  <c r="W28" i="1" s="1"/>
  <c r="W29" i="1" s="1"/>
  <c r="W30" i="1" s="1"/>
  <c r="W31" i="1" s="1"/>
  <c r="W32" i="1" s="1"/>
  <c r="W33" i="1" s="1"/>
  <c r="W34" i="1" s="1"/>
  <c r="W35" i="1" s="1"/>
  <c r="W36" i="1" s="1"/>
  <c r="W37" i="1" s="1"/>
  <c r="W38" i="1" s="1"/>
  <c r="W39" i="1" s="1"/>
  <c r="W40" i="1" s="1"/>
  <c r="W41" i="1" s="1"/>
  <c r="W42" i="1" s="1"/>
  <c r="W43" i="1" s="1"/>
  <c r="W44" i="1" s="1"/>
  <c r="W45" i="1" s="1"/>
  <c r="W46" i="1" s="1"/>
  <c r="W47" i="1" s="1"/>
  <c r="W48" i="1" s="1"/>
  <c r="W49" i="1" s="1"/>
  <c r="W50" i="1" s="1"/>
  <c r="W51" i="1" s="1"/>
  <c r="W52" i="1" s="1"/>
  <c r="W53" i="1" s="1"/>
  <c r="W54" i="1" s="1"/>
  <c r="W55" i="1" s="1"/>
  <c r="W56" i="1" s="1"/>
  <c r="W57" i="1" s="1"/>
  <c r="W58" i="1" s="1"/>
  <c r="W59" i="1" s="1"/>
  <c r="W60" i="1" s="1"/>
  <c r="W61" i="1" s="1"/>
  <c r="W62" i="1" s="1"/>
  <c r="W63" i="1" s="1"/>
  <c r="W64" i="1" s="1"/>
  <c r="W65" i="1" s="1"/>
  <c r="W66" i="1" s="1"/>
  <c r="W67" i="1" s="1"/>
  <c r="W68" i="1" s="1"/>
  <c r="W69" i="1" s="1"/>
  <c r="W70" i="1" s="1"/>
  <c r="W71" i="1" s="1"/>
  <c r="W72" i="1" s="1"/>
  <c r="W73" i="1" s="1"/>
  <c r="W74" i="1" s="1"/>
  <c r="W75" i="1" s="1"/>
  <c r="W76" i="1" s="1"/>
  <c r="W77" i="1" s="1"/>
  <c r="W78" i="1" s="1"/>
  <c r="W79" i="1" s="1"/>
  <c r="W80" i="1" s="1"/>
  <c r="W81" i="1" s="1"/>
  <c r="W82" i="1" s="1"/>
  <c r="W83" i="1" s="1"/>
  <c r="W84" i="1" s="1"/>
  <c r="W85" i="1" s="1"/>
  <c r="W86" i="1" s="1"/>
  <c r="W87" i="1" s="1"/>
  <c r="W88" i="1" s="1"/>
  <c r="W89" i="1" s="1"/>
  <c r="W90" i="1" s="1"/>
  <c r="W91" i="1" s="1"/>
  <c r="W92" i="1" s="1"/>
  <c r="W93" i="1" s="1"/>
  <c r="W94" i="1" s="1"/>
  <c r="W95" i="1" s="1"/>
  <c r="W96" i="1" s="1"/>
  <c r="W97" i="1" s="1"/>
  <c r="W98" i="1" s="1"/>
  <c r="W99" i="1" s="1"/>
  <c r="W100" i="1" s="1"/>
  <c r="W101" i="1" s="1"/>
  <c r="W102" i="1" s="1"/>
  <c r="W103" i="1" s="1"/>
  <c r="W104" i="1" s="1"/>
  <c r="W105" i="1" s="1"/>
  <c r="W106" i="1" s="1"/>
  <c r="W107" i="1" s="1"/>
  <c r="W108" i="1" s="1"/>
  <c r="W109" i="1" s="1"/>
  <c r="W110" i="1" s="1"/>
  <c r="W111" i="1" s="1"/>
  <c r="W112" i="1" s="1"/>
  <c r="W113" i="1" s="1"/>
  <c r="W114" i="1" s="1"/>
  <c r="W115" i="1" s="1"/>
  <c r="W116" i="1" s="1"/>
  <c r="W117" i="1" s="1"/>
  <c r="W118" i="1" s="1"/>
  <c r="W119" i="1" s="1"/>
  <c r="W120" i="1" s="1"/>
  <c r="W121" i="1" s="1"/>
  <c r="W122" i="1" s="1"/>
  <c r="W123" i="1" s="1"/>
  <c r="W124" i="1" s="1"/>
  <c r="W125" i="1" s="1"/>
  <c r="W126" i="1" s="1"/>
  <c r="W127" i="1" s="1"/>
  <c r="W128" i="1" s="1"/>
  <c r="W129" i="1" s="1"/>
  <c r="W130" i="1" s="1"/>
  <c r="W131" i="1" s="1"/>
  <c r="W132" i="1" s="1"/>
  <c r="W133" i="1" s="1"/>
  <c r="W134" i="1" s="1"/>
  <c r="W135" i="1" s="1"/>
  <c r="W136" i="1" s="1"/>
  <c r="W137" i="1" s="1"/>
  <c r="W138" i="1" s="1"/>
  <c r="W139" i="1" s="1"/>
  <c r="W140" i="1" s="1"/>
  <c r="W141" i="1" s="1"/>
  <c r="W142" i="1" s="1"/>
  <c r="W143" i="1" s="1"/>
  <c r="W144" i="1" s="1"/>
  <c r="W145" i="1" s="1"/>
  <c r="W146" i="1" s="1"/>
  <c r="W147" i="1" s="1"/>
  <c r="W148" i="1" s="1"/>
  <c r="W149" i="1" s="1"/>
  <c r="W150" i="1" s="1"/>
  <c r="W151" i="1" s="1"/>
  <c r="W152" i="1" s="1"/>
  <c r="W153" i="1" s="1"/>
  <c r="W154" i="1" s="1"/>
  <c r="W155" i="1" s="1"/>
  <c r="W156" i="1" s="1"/>
  <c r="W157" i="1" s="1"/>
  <c r="W158" i="1" s="1"/>
  <c r="W159" i="1" s="1"/>
  <c r="W160" i="1" s="1"/>
  <c r="W161" i="1" s="1"/>
  <c r="W162" i="1" s="1"/>
  <c r="W163" i="1" s="1"/>
  <c r="W164" i="1" s="1"/>
  <c r="W165" i="1" s="1"/>
  <c r="W166" i="1" s="1"/>
  <c r="W167" i="1" s="1"/>
  <c r="W168" i="1" s="1"/>
  <c r="W169" i="1" s="1"/>
  <c r="W170" i="1" s="1"/>
  <c r="W171" i="1" s="1"/>
  <c r="W172" i="1" s="1"/>
  <c r="W173" i="1" s="1"/>
  <c r="W174" i="1" s="1"/>
  <c r="W175" i="1" s="1"/>
  <c r="W176" i="1" s="1"/>
  <c r="W177" i="1" s="1"/>
  <c r="W178" i="1" s="1"/>
  <c r="W179" i="1" s="1"/>
  <c r="W180" i="1" s="1"/>
  <c r="W181" i="1" s="1"/>
  <c r="W182" i="1" s="1"/>
  <c r="W183" i="1" s="1"/>
  <c r="W184" i="1" s="1"/>
  <c r="W185" i="1" s="1"/>
  <c r="W186" i="1" s="1"/>
  <c r="W187" i="1" s="1"/>
  <c r="W188" i="1" s="1"/>
  <c r="W189" i="1" s="1"/>
  <c r="W190" i="1" s="1"/>
  <c r="W191" i="1" s="1"/>
  <c r="W192" i="1" s="1"/>
  <c r="W193" i="1" s="1"/>
  <c r="W194" i="1" s="1"/>
  <c r="W195" i="1" s="1"/>
  <c r="W196" i="1" s="1"/>
  <c r="W197" i="1" s="1"/>
  <c r="W198" i="1" s="1"/>
  <c r="W199" i="1" s="1"/>
  <c r="W200" i="1" s="1"/>
  <c r="W201" i="1" s="1"/>
  <c r="W202" i="1" s="1"/>
  <c r="W203" i="1" s="1"/>
  <c r="W204" i="1" s="1"/>
  <c r="W205" i="1" s="1"/>
  <c r="W206" i="1" s="1"/>
  <c r="W207" i="1" s="1"/>
  <c r="W208" i="1" s="1"/>
  <c r="W209" i="1" s="1"/>
  <c r="W210" i="1" s="1"/>
  <c r="W211" i="1" s="1"/>
  <c r="W212" i="1" s="1"/>
  <c r="W213" i="1" s="1"/>
  <c r="W214" i="1" s="1"/>
  <c r="W215" i="1" s="1"/>
  <c r="W216" i="1" s="1"/>
  <c r="W217" i="1" s="1"/>
  <c r="W218" i="1" s="1"/>
  <c r="W219" i="1" s="1"/>
  <c r="W220" i="1" s="1"/>
  <c r="W221" i="1" s="1"/>
  <c r="W222" i="1" s="1"/>
  <c r="W223" i="1" s="1"/>
  <c r="W224" i="1" s="1"/>
  <c r="W225" i="1" s="1"/>
  <c r="W226" i="1" s="1"/>
  <c r="W227" i="1" s="1"/>
  <c r="W228" i="1" s="1"/>
  <c r="W229" i="1" s="1"/>
  <c r="W230" i="1" s="1"/>
  <c r="W231" i="1" s="1"/>
  <c r="W232" i="1" s="1"/>
  <c r="W233" i="1" s="1"/>
  <c r="W234" i="1" s="1"/>
  <c r="W235" i="1" s="1"/>
  <c r="W236" i="1" s="1"/>
  <c r="W237" i="1" s="1"/>
  <c r="W238" i="1" s="1"/>
  <c r="W239" i="1" s="1"/>
  <c r="W240" i="1" s="1"/>
  <c r="W241" i="1" s="1"/>
  <c r="W242" i="1" s="1"/>
  <c r="W243" i="1" s="1"/>
  <c r="W244" i="1" s="1"/>
  <c r="W245" i="1" s="1"/>
  <c r="W246" i="1" s="1"/>
  <c r="W247" i="1" s="1"/>
  <c r="W248" i="1" s="1"/>
  <c r="W249" i="1" s="1"/>
  <c r="W250" i="1" s="1"/>
  <c r="W251" i="1" s="1"/>
  <c r="W252" i="1" s="1"/>
  <c r="W253" i="1" s="1"/>
  <c r="W254" i="1" s="1"/>
  <c r="W255" i="1" s="1"/>
  <c r="W256" i="1" s="1"/>
  <c r="W257" i="1" s="1"/>
  <c r="W258" i="1" s="1"/>
  <c r="W259" i="1" s="1"/>
  <c r="W260" i="1" s="1"/>
  <c r="W261" i="1" s="1"/>
  <c r="W262" i="1" s="1"/>
  <c r="W263" i="1" s="1"/>
  <c r="W264" i="1" s="1"/>
  <c r="W265" i="1" s="1"/>
  <c r="W266" i="1" s="1"/>
  <c r="W267" i="1" s="1"/>
  <c r="W268" i="1" s="1"/>
  <c r="W269" i="1" s="1"/>
  <c r="W270" i="1" s="1"/>
  <c r="W271" i="1" s="1"/>
  <c r="W272" i="1" s="1"/>
  <c r="W273" i="1" s="1"/>
  <c r="W274" i="1" s="1"/>
  <c r="W275" i="1" s="1"/>
  <c r="W276" i="1" s="1"/>
  <c r="W277" i="1" s="1"/>
  <c r="W278" i="1" s="1"/>
  <c r="W279" i="1" s="1"/>
  <c r="W280" i="1" s="1"/>
  <c r="W281" i="1" s="1"/>
  <c r="W282" i="1" s="1"/>
  <c r="W283" i="1" s="1"/>
  <c r="W284" i="1" s="1"/>
  <c r="W285" i="1" s="1"/>
  <c r="W286" i="1" s="1"/>
  <c r="W287" i="1" s="1"/>
  <c r="W288" i="1" s="1"/>
  <c r="W289" i="1" s="1"/>
  <c r="W290" i="1" s="1"/>
  <c r="W291" i="1" s="1"/>
  <c r="W292" i="1" s="1"/>
  <c r="W293" i="1" s="1"/>
  <c r="W294" i="1" s="1"/>
  <c r="W295" i="1" s="1"/>
  <c r="W296" i="1" s="1"/>
  <c r="W297" i="1" s="1"/>
  <c r="W298" i="1" s="1"/>
  <c r="W299" i="1" s="1"/>
  <c r="W300" i="1" s="1"/>
  <c r="W301" i="1" s="1"/>
  <c r="W302" i="1" s="1"/>
  <c r="W303" i="1" s="1"/>
  <c r="W304" i="1" s="1"/>
  <c r="W305" i="1" s="1"/>
  <c r="W306" i="1" s="1"/>
  <c r="W307" i="1" s="1"/>
  <c r="W308" i="1" s="1"/>
  <c r="W309" i="1" s="1"/>
  <c r="W310" i="1" s="1"/>
  <c r="W311" i="1" s="1"/>
  <c r="W312" i="1" s="1"/>
  <c r="W313" i="1" s="1"/>
  <c r="W314" i="1" s="1"/>
  <c r="W315" i="1" s="1"/>
  <c r="W316" i="1" s="1"/>
  <c r="W317" i="1" s="1"/>
  <c r="W318" i="1" s="1"/>
  <c r="W319" i="1" s="1"/>
  <c r="W320" i="1" s="1"/>
  <c r="W321" i="1" s="1"/>
  <c r="W322" i="1" s="1"/>
  <c r="W323" i="1" s="1"/>
  <c r="W324" i="1" s="1"/>
  <c r="W325" i="1" s="1"/>
  <c r="W326" i="1" s="1"/>
  <c r="W327" i="1" s="1"/>
  <c r="W328" i="1" s="1"/>
  <c r="W329" i="1" s="1"/>
  <c r="W330" i="1" s="1"/>
  <c r="W331" i="1" s="1"/>
  <c r="W332" i="1" s="1"/>
  <c r="W333" i="1" s="1"/>
  <c r="W334" i="1" s="1"/>
  <c r="W335" i="1" s="1"/>
  <c r="W336" i="1" s="1"/>
  <c r="W337" i="1" s="1"/>
  <c r="W338" i="1" s="1"/>
  <c r="W339" i="1" s="1"/>
  <c r="W340" i="1" s="1"/>
  <c r="W341" i="1" s="1"/>
  <c r="W342" i="1" s="1"/>
  <c r="W343" i="1" s="1"/>
  <c r="W344" i="1" s="1"/>
  <c r="W345" i="1" s="1"/>
  <c r="W346" i="1" s="1"/>
  <c r="W347" i="1" s="1"/>
  <c r="W348" i="1" s="1"/>
  <c r="W349" i="1" s="1"/>
  <c r="W350" i="1" s="1"/>
  <c r="W351" i="1" s="1"/>
  <c r="W352" i="1" s="1"/>
  <c r="W353" i="1" s="1"/>
  <c r="W354" i="1" s="1"/>
  <c r="W355" i="1" s="1"/>
  <c r="W356" i="1" s="1"/>
  <c r="W357" i="1" s="1"/>
  <c r="W358" i="1" s="1"/>
  <c r="W359" i="1" s="1"/>
  <c r="W360" i="1" s="1"/>
  <c r="W361" i="1" s="1"/>
  <c r="W362" i="1" s="1"/>
  <c r="W363" i="1" s="1"/>
  <c r="W364" i="1" s="1"/>
  <c r="W365" i="1" s="1"/>
  <c r="W366" i="1" s="1"/>
  <c r="W367" i="1" s="1"/>
  <c r="W368" i="1" s="1"/>
  <c r="W369" i="1" s="1"/>
  <c r="W370" i="1" s="1"/>
  <c r="W371" i="1" s="1"/>
  <c r="W372" i="1" s="1"/>
  <c r="W373" i="1" s="1"/>
  <c r="W374" i="1" s="1"/>
  <c r="W375" i="1" s="1"/>
  <c r="W376" i="1" s="1"/>
  <c r="W377" i="1" s="1"/>
  <c r="W378" i="1" s="1"/>
  <c r="W379" i="1" s="1"/>
  <c r="W380" i="1" s="1"/>
  <c r="W381" i="1" s="1"/>
  <c r="W382" i="1" s="1"/>
  <c r="W383" i="1" s="1"/>
  <c r="W384" i="1" s="1"/>
  <c r="W385" i="1" s="1"/>
  <c r="W386" i="1" s="1"/>
  <c r="W387" i="1" s="1"/>
  <c r="W388" i="1" s="1"/>
  <c r="W389" i="1" s="1"/>
  <c r="W390" i="1" s="1"/>
  <c r="W391" i="1" s="1"/>
  <c r="W392" i="1" s="1"/>
  <c r="W393" i="1" s="1"/>
  <c r="W394" i="1" s="1"/>
  <c r="W395" i="1" s="1"/>
  <c r="W396" i="1" s="1"/>
  <c r="W397" i="1" s="1"/>
  <c r="W398" i="1" s="1"/>
  <c r="W399" i="1" s="1"/>
  <c r="W400" i="1" s="1"/>
  <c r="W401" i="1" s="1"/>
  <c r="W402" i="1" s="1"/>
  <c r="W403" i="1" s="1"/>
  <c r="W404" i="1" s="1"/>
  <c r="W405" i="1" s="1"/>
  <c r="W406" i="1" s="1"/>
  <c r="W407" i="1" s="1"/>
  <c r="W408" i="1" s="1"/>
  <c r="W409" i="1" s="1"/>
  <c r="W410" i="1" s="1"/>
  <c r="W411" i="1" s="1"/>
  <c r="W412" i="1" s="1"/>
  <c r="W413" i="1" s="1"/>
  <c r="W414" i="1" s="1"/>
  <c r="W415" i="1" s="1"/>
  <c r="W416" i="1" s="1"/>
  <c r="W417" i="1" s="1"/>
  <c r="W418" i="1" s="1"/>
  <c r="W419" i="1" s="1"/>
  <c r="W420" i="1" s="1"/>
  <c r="W421" i="1" s="1"/>
  <c r="W422" i="1" s="1"/>
  <c r="W423" i="1" s="1"/>
  <c r="W424" i="1" s="1"/>
  <c r="W425" i="1" s="1"/>
  <c r="W426" i="1" s="1"/>
  <c r="W427" i="1" s="1"/>
  <c r="W428" i="1" s="1"/>
  <c r="W429" i="1" s="1"/>
  <c r="W430" i="1" s="1"/>
  <c r="W431" i="1" s="1"/>
  <c r="W432" i="1" s="1"/>
  <c r="W433" i="1" s="1"/>
  <c r="W434" i="1" s="1"/>
  <c r="W435" i="1" s="1"/>
  <c r="W436" i="1" s="1"/>
  <c r="W437" i="1" s="1"/>
  <c r="W438" i="1" s="1"/>
  <c r="W439" i="1" s="1"/>
  <c r="W440" i="1" s="1"/>
  <c r="W441" i="1" s="1"/>
  <c r="W442" i="1" s="1"/>
  <c r="W443" i="1" s="1"/>
  <c r="W444" i="1" s="1"/>
  <c r="W445" i="1" s="1"/>
  <c r="W446" i="1" s="1"/>
  <c r="W447" i="1" s="1"/>
  <c r="W448" i="1" s="1"/>
  <c r="W449" i="1" s="1"/>
  <c r="W450" i="1" s="1"/>
  <c r="W451" i="1" s="1"/>
  <c r="W452" i="1" s="1"/>
  <c r="W453" i="1" s="1"/>
  <c r="W454" i="1" s="1"/>
  <c r="W455" i="1" s="1"/>
  <c r="W456" i="1" s="1"/>
  <c r="W457" i="1" s="1"/>
  <c r="W458" i="1" s="1"/>
  <c r="W459" i="1" s="1"/>
  <c r="W460" i="1" s="1"/>
  <c r="W461" i="1" s="1"/>
  <c r="W462" i="1" s="1"/>
  <c r="W463" i="1" s="1"/>
  <c r="W464" i="1" s="1"/>
  <c r="W465" i="1" s="1"/>
  <c r="W466" i="1" s="1"/>
  <c r="W467" i="1" s="1"/>
  <c r="W468" i="1" s="1"/>
  <c r="W469" i="1" s="1"/>
  <c r="W470" i="1" s="1"/>
  <c r="W471" i="1" s="1"/>
  <c r="W472" i="1" s="1"/>
  <c r="W473" i="1" s="1"/>
  <c r="W474" i="1" s="1"/>
  <c r="W475" i="1" s="1"/>
  <c r="W476" i="1" s="1"/>
  <c r="W477" i="1" s="1"/>
  <c r="W478" i="1" s="1"/>
  <c r="W479" i="1" s="1"/>
  <c r="Z3" i="1"/>
  <c r="Z4" i="1" s="1"/>
  <c r="Z5" i="1" s="1"/>
  <c r="Z6" i="1" s="1"/>
  <c r="Z7" i="1" s="1"/>
  <c r="Z8" i="1" s="1"/>
  <c r="Z9" i="1" s="1"/>
  <c r="Z10" i="1" s="1"/>
  <c r="Z11" i="1" s="1"/>
  <c r="Z12" i="1" s="1"/>
  <c r="Z13" i="1" s="1"/>
  <c r="Z14" i="1" s="1"/>
  <c r="Z15" i="1" s="1"/>
  <c r="Z16" i="1" s="1"/>
  <c r="Z17" i="1" s="1"/>
  <c r="Z18" i="1" s="1"/>
  <c r="Z19" i="1" s="1"/>
  <c r="Z20" i="1" s="1"/>
  <c r="Z21" i="1" s="1"/>
  <c r="Z22" i="1" s="1"/>
  <c r="Z23" i="1" s="1"/>
  <c r="Z24" i="1" s="1"/>
  <c r="Z25" i="1" s="1"/>
  <c r="Z26" i="1" s="1"/>
  <c r="Z27" i="1" s="1"/>
  <c r="Z28" i="1" s="1"/>
  <c r="Z29" i="1" s="1"/>
  <c r="Z30" i="1" s="1"/>
  <c r="Z31" i="1" s="1"/>
  <c r="Z32" i="1" s="1"/>
  <c r="Z33" i="1" s="1"/>
  <c r="Z34" i="1" s="1"/>
  <c r="Z35" i="1" s="1"/>
  <c r="Z36" i="1" s="1"/>
  <c r="Z37" i="1" s="1"/>
  <c r="Z38" i="1" s="1"/>
  <c r="Z39" i="1" s="1"/>
  <c r="Z40" i="1" s="1"/>
  <c r="Z41" i="1" s="1"/>
  <c r="Z42" i="1" s="1"/>
  <c r="Z43" i="1" s="1"/>
  <c r="Z44" i="1" s="1"/>
  <c r="Z45" i="1" s="1"/>
  <c r="Z46" i="1" s="1"/>
  <c r="Z47" i="1" s="1"/>
  <c r="Z48" i="1" s="1"/>
  <c r="Z49" i="1" s="1"/>
  <c r="Z50" i="1" s="1"/>
  <c r="Z51" i="1" s="1"/>
  <c r="Z52" i="1" s="1"/>
  <c r="Z53" i="1" s="1"/>
  <c r="Z54" i="1" s="1"/>
  <c r="Z55" i="1" s="1"/>
  <c r="Z56" i="1" s="1"/>
  <c r="Z57" i="1" s="1"/>
  <c r="Z58" i="1" s="1"/>
  <c r="Z59" i="1" s="1"/>
  <c r="Z60" i="1" s="1"/>
  <c r="Z61" i="1" s="1"/>
  <c r="Z62" i="1" s="1"/>
  <c r="Z63" i="1" s="1"/>
  <c r="Z64" i="1" s="1"/>
  <c r="Z65" i="1" s="1"/>
  <c r="Z66" i="1" s="1"/>
  <c r="Z67" i="1" s="1"/>
  <c r="Z68" i="1" s="1"/>
  <c r="Z69" i="1" s="1"/>
  <c r="Z70" i="1" s="1"/>
  <c r="Z71" i="1" s="1"/>
  <c r="Z72" i="1" s="1"/>
  <c r="Z73" i="1" s="1"/>
  <c r="Z74" i="1" s="1"/>
  <c r="Z75" i="1" s="1"/>
  <c r="Z76" i="1" s="1"/>
  <c r="Z77" i="1" s="1"/>
  <c r="Z78" i="1" s="1"/>
  <c r="Z79" i="1" s="1"/>
  <c r="Z80" i="1" s="1"/>
  <c r="Z81" i="1" s="1"/>
  <c r="Z82" i="1" s="1"/>
  <c r="Z83" i="1" s="1"/>
  <c r="Z84" i="1" s="1"/>
  <c r="Z85" i="1" s="1"/>
  <c r="Z86" i="1" s="1"/>
  <c r="Z87" i="1" s="1"/>
  <c r="Z88" i="1" s="1"/>
  <c r="Z89" i="1" s="1"/>
  <c r="Z90" i="1" s="1"/>
  <c r="Z91" i="1" s="1"/>
  <c r="Z92" i="1" s="1"/>
  <c r="Z93" i="1" s="1"/>
  <c r="Z94" i="1" s="1"/>
  <c r="Z95" i="1" s="1"/>
  <c r="Z96" i="1" s="1"/>
  <c r="Z97" i="1" s="1"/>
  <c r="Z98" i="1" s="1"/>
  <c r="Z99" i="1" s="1"/>
  <c r="Z100" i="1" s="1"/>
  <c r="Z101" i="1" s="1"/>
  <c r="Z102" i="1" s="1"/>
  <c r="Z103" i="1" s="1"/>
  <c r="Z104" i="1" s="1"/>
  <c r="Z105" i="1" s="1"/>
  <c r="Z106" i="1" s="1"/>
  <c r="Z107" i="1" s="1"/>
  <c r="Z108" i="1" s="1"/>
  <c r="Z109" i="1" s="1"/>
  <c r="Z110" i="1" s="1"/>
  <c r="Z111" i="1" s="1"/>
  <c r="Z112" i="1" s="1"/>
  <c r="Z113" i="1" s="1"/>
  <c r="Z114" i="1" s="1"/>
  <c r="Z115" i="1" s="1"/>
  <c r="Z116" i="1" s="1"/>
  <c r="Z117" i="1" s="1"/>
  <c r="Z118" i="1" s="1"/>
  <c r="Z119" i="1" s="1"/>
  <c r="Z120" i="1" s="1"/>
  <c r="Z121" i="1" s="1"/>
  <c r="Z122" i="1" s="1"/>
  <c r="Z123" i="1" s="1"/>
  <c r="Z124" i="1" s="1"/>
  <c r="Z125" i="1" s="1"/>
  <c r="Z126" i="1" s="1"/>
  <c r="Z127" i="1" s="1"/>
  <c r="Z128" i="1" s="1"/>
  <c r="Z129" i="1" s="1"/>
  <c r="Z130" i="1" s="1"/>
  <c r="Z131" i="1" s="1"/>
  <c r="Z132" i="1" s="1"/>
  <c r="Z133" i="1" s="1"/>
  <c r="Z134" i="1" s="1"/>
  <c r="Z135" i="1" s="1"/>
  <c r="Z136" i="1" s="1"/>
  <c r="Z137" i="1" s="1"/>
  <c r="Z138" i="1" s="1"/>
  <c r="Z139" i="1" s="1"/>
  <c r="Z140" i="1" s="1"/>
  <c r="Z141" i="1" s="1"/>
  <c r="Z142" i="1" s="1"/>
  <c r="Z143" i="1" s="1"/>
  <c r="Z144" i="1" s="1"/>
  <c r="Z145" i="1" s="1"/>
  <c r="Z146" i="1" s="1"/>
  <c r="Z147" i="1" s="1"/>
  <c r="Z148" i="1" s="1"/>
  <c r="Z149" i="1" s="1"/>
  <c r="Z150" i="1" s="1"/>
  <c r="Z151" i="1" s="1"/>
  <c r="Z152" i="1" s="1"/>
  <c r="Z153" i="1" s="1"/>
  <c r="Z154" i="1" s="1"/>
  <c r="Z155" i="1" s="1"/>
  <c r="Z156" i="1" s="1"/>
  <c r="Z157" i="1" s="1"/>
  <c r="Z158" i="1" s="1"/>
  <c r="Z159" i="1" s="1"/>
  <c r="Z160" i="1" s="1"/>
  <c r="Z161" i="1" s="1"/>
  <c r="Z162" i="1" s="1"/>
  <c r="Z163" i="1" s="1"/>
  <c r="Z164" i="1" s="1"/>
  <c r="Z165" i="1" s="1"/>
  <c r="Z166" i="1" s="1"/>
  <c r="Z167" i="1" s="1"/>
  <c r="Z168" i="1" s="1"/>
  <c r="Z169" i="1" s="1"/>
  <c r="Z170" i="1" s="1"/>
  <c r="Z171" i="1" s="1"/>
  <c r="Z172" i="1" s="1"/>
  <c r="Z173" i="1" s="1"/>
  <c r="Z174" i="1" s="1"/>
  <c r="Z175" i="1" s="1"/>
  <c r="Z176" i="1" s="1"/>
  <c r="Z177" i="1" s="1"/>
  <c r="Z178" i="1" s="1"/>
  <c r="Z179" i="1" s="1"/>
  <c r="Z180" i="1" s="1"/>
  <c r="Z181" i="1" s="1"/>
  <c r="Z182" i="1" s="1"/>
  <c r="Z183" i="1" s="1"/>
  <c r="Z184" i="1" s="1"/>
  <c r="Z185" i="1" s="1"/>
  <c r="Z186" i="1" s="1"/>
  <c r="Z187" i="1" s="1"/>
  <c r="Z188" i="1" s="1"/>
  <c r="Z189" i="1" s="1"/>
  <c r="Z190" i="1" s="1"/>
  <c r="Z191" i="1" s="1"/>
  <c r="Z192" i="1" s="1"/>
  <c r="Z193" i="1" s="1"/>
  <c r="Z194" i="1" s="1"/>
  <c r="Z195" i="1" s="1"/>
  <c r="Z196" i="1" s="1"/>
  <c r="Z197" i="1" s="1"/>
  <c r="Z198" i="1" s="1"/>
  <c r="Z199" i="1" s="1"/>
  <c r="Z200" i="1" s="1"/>
  <c r="Z201" i="1" s="1"/>
  <c r="Z202" i="1" s="1"/>
  <c r="Z203" i="1" s="1"/>
  <c r="Z204" i="1" s="1"/>
  <c r="Z205" i="1" s="1"/>
  <c r="Z206" i="1" s="1"/>
  <c r="Z207" i="1" s="1"/>
  <c r="Z208" i="1" s="1"/>
  <c r="Z209" i="1" s="1"/>
  <c r="Z210" i="1" s="1"/>
  <c r="Z211" i="1" s="1"/>
  <c r="Z212" i="1" s="1"/>
  <c r="Z213" i="1" s="1"/>
  <c r="Z214" i="1" s="1"/>
  <c r="Z215" i="1" s="1"/>
  <c r="Z216" i="1" s="1"/>
  <c r="Z217" i="1" s="1"/>
  <c r="Z218" i="1" s="1"/>
  <c r="Z219" i="1" s="1"/>
  <c r="Z220" i="1" s="1"/>
  <c r="Z221" i="1" s="1"/>
  <c r="Z222" i="1" s="1"/>
  <c r="Z223" i="1" s="1"/>
  <c r="Z224" i="1" s="1"/>
  <c r="Z225" i="1" s="1"/>
  <c r="Z226" i="1" s="1"/>
  <c r="Z227" i="1" s="1"/>
  <c r="Z228" i="1" s="1"/>
  <c r="Z229" i="1" s="1"/>
  <c r="Z230" i="1" s="1"/>
  <c r="Z231" i="1" s="1"/>
  <c r="Z232" i="1" s="1"/>
  <c r="Z233" i="1" s="1"/>
  <c r="Z234" i="1" s="1"/>
  <c r="Z235" i="1" s="1"/>
  <c r="Z236" i="1" s="1"/>
  <c r="Z237" i="1" s="1"/>
  <c r="Z238" i="1" s="1"/>
  <c r="Z239" i="1" s="1"/>
  <c r="Z240" i="1" s="1"/>
  <c r="Z241" i="1" s="1"/>
  <c r="Z242" i="1" s="1"/>
  <c r="Z243" i="1" s="1"/>
  <c r="Z244" i="1" s="1"/>
  <c r="Z245" i="1" s="1"/>
  <c r="Z246" i="1" s="1"/>
  <c r="Z247" i="1" s="1"/>
  <c r="Z248" i="1" s="1"/>
  <c r="Z249" i="1" s="1"/>
  <c r="Z250" i="1" s="1"/>
  <c r="Z251" i="1" s="1"/>
  <c r="Z252" i="1" s="1"/>
  <c r="Z253" i="1" s="1"/>
  <c r="Z254" i="1" s="1"/>
  <c r="Z255" i="1" s="1"/>
  <c r="Z256" i="1" s="1"/>
  <c r="Z257" i="1" s="1"/>
  <c r="Z258" i="1" s="1"/>
  <c r="Z259" i="1" s="1"/>
  <c r="Z260" i="1" s="1"/>
  <c r="Z261" i="1" s="1"/>
  <c r="Z262" i="1" s="1"/>
  <c r="Z263" i="1" s="1"/>
  <c r="Z264" i="1" s="1"/>
  <c r="Z265" i="1" s="1"/>
  <c r="Z266" i="1" s="1"/>
  <c r="Z267" i="1" s="1"/>
  <c r="Z268" i="1" s="1"/>
  <c r="Z269" i="1" s="1"/>
  <c r="Z270" i="1" s="1"/>
  <c r="Z271" i="1" s="1"/>
  <c r="Z272" i="1" s="1"/>
  <c r="Z273" i="1" s="1"/>
  <c r="Z274" i="1" s="1"/>
  <c r="Z275" i="1" s="1"/>
  <c r="Z276" i="1" s="1"/>
  <c r="Z277" i="1" s="1"/>
  <c r="Z278" i="1" s="1"/>
  <c r="Z279" i="1" s="1"/>
  <c r="Z280" i="1" s="1"/>
  <c r="Z281" i="1" s="1"/>
  <c r="Z282" i="1" s="1"/>
  <c r="Z283" i="1" s="1"/>
  <c r="Z284" i="1" s="1"/>
  <c r="Z285" i="1" s="1"/>
  <c r="Z286" i="1" s="1"/>
  <c r="Z287" i="1" s="1"/>
  <c r="Z288" i="1" s="1"/>
  <c r="Z289" i="1" s="1"/>
  <c r="Z290" i="1" s="1"/>
  <c r="Z291" i="1" s="1"/>
  <c r="Z292" i="1" s="1"/>
  <c r="Z293" i="1" s="1"/>
  <c r="Z294" i="1" s="1"/>
  <c r="Z295" i="1" s="1"/>
  <c r="Z296" i="1" s="1"/>
  <c r="Z297" i="1" s="1"/>
  <c r="Z298" i="1" s="1"/>
  <c r="Z299" i="1" s="1"/>
  <c r="Z300" i="1" s="1"/>
  <c r="Z301" i="1" s="1"/>
  <c r="Z302" i="1" s="1"/>
  <c r="Z303" i="1" s="1"/>
  <c r="Z304" i="1" s="1"/>
  <c r="Z305" i="1" s="1"/>
  <c r="Z306" i="1" s="1"/>
  <c r="Z307" i="1" s="1"/>
  <c r="Z308" i="1" s="1"/>
  <c r="Z309" i="1" s="1"/>
  <c r="Z310" i="1" s="1"/>
  <c r="Z311" i="1" s="1"/>
  <c r="Z312" i="1" s="1"/>
  <c r="Z313" i="1" s="1"/>
  <c r="Z314" i="1" s="1"/>
  <c r="Z315" i="1" s="1"/>
  <c r="Z316" i="1" s="1"/>
  <c r="Z317" i="1" s="1"/>
  <c r="Z318" i="1" s="1"/>
  <c r="Z319" i="1" s="1"/>
  <c r="Z320" i="1" s="1"/>
  <c r="Z321" i="1" s="1"/>
  <c r="Z322" i="1" s="1"/>
  <c r="Z323" i="1" s="1"/>
  <c r="Z324" i="1" s="1"/>
  <c r="Z325" i="1" s="1"/>
  <c r="Z326" i="1" s="1"/>
  <c r="Z327" i="1" s="1"/>
  <c r="Z328" i="1" s="1"/>
  <c r="Z329" i="1" s="1"/>
  <c r="Z330" i="1" s="1"/>
  <c r="Z331" i="1" s="1"/>
  <c r="Z332" i="1" s="1"/>
  <c r="Z333" i="1" s="1"/>
  <c r="Z334" i="1" s="1"/>
  <c r="Z335" i="1" s="1"/>
  <c r="Z336" i="1" s="1"/>
  <c r="Z337" i="1" s="1"/>
  <c r="Z338" i="1" s="1"/>
  <c r="Z339" i="1" s="1"/>
  <c r="Z340" i="1" s="1"/>
  <c r="Z341" i="1" s="1"/>
  <c r="Z342" i="1" s="1"/>
  <c r="Z343" i="1" s="1"/>
  <c r="Z344" i="1" s="1"/>
  <c r="Z345" i="1" s="1"/>
  <c r="Z346" i="1" s="1"/>
  <c r="Z347" i="1" s="1"/>
  <c r="Z348" i="1" s="1"/>
  <c r="Z349" i="1" s="1"/>
  <c r="Z350" i="1" s="1"/>
  <c r="Z351" i="1" s="1"/>
  <c r="Z352" i="1" s="1"/>
  <c r="Z353" i="1" s="1"/>
  <c r="Z354" i="1" s="1"/>
  <c r="Z355" i="1" s="1"/>
  <c r="Z356" i="1" s="1"/>
  <c r="Z357" i="1" s="1"/>
  <c r="Z358" i="1" s="1"/>
  <c r="Z359" i="1" s="1"/>
  <c r="Z360" i="1" s="1"/>
  <c r="Z361" i="1" s="1"/>
  <c r="Z362" i="1" s="1"/>
  <c r="Z363" i="1" s="1"/>
  <c r="Z364" i="1" s="1"/>
  <c r="Z365" i="1" s="1"/>
  <c r="Z366" i="1" s="1"/>
  <c r="Z367" i="1" s="1"/>
  <c r="Z368" i="1" s="1"/>
  <c r="Z369" i="1" s="1"/>
  <c r="Z370" i="1" s="1"/>
  <c r="Z371" i="1" s="1"/>
  <c r="Z372" i="1" s="1"/>
  <c r="Z373" i="1" s="1"/>
  <c r="Z374" i="1" s="1"/>
  <c r="Z375" i="1" s="1"/>
  <c r="Z376" i="1" s="1"/>
  <c r="Z377" i="1" s="1"/>
  <c r="Z378" i="1" s="1"/>
  <c r="Z379" i="1" s="1"/>
  <c r="Z380" i="1" s="1"/>
  <c r="Z381" i="1" s="1"/>
  <c r="Z382" i="1" s="1"/>
  <c r="Z383" i="1" s="1"/>
  <c r="Z384" i="1" s="1"/>
  <c r="Z385" i="1" s="1"/>
  <c r="Z386" i="1" s="1"/>
  <c r="Z387" i="1" s="1"/>
  <c r="Z388" i="1" s="1"/>
  <c r="Z389" i="1" s="1"/>
  <c r="Z390" i="1" s="1"/>
  <c r="Z391" i="1" s="1"/>
  <c r="Z392" i="1" s="1"/>
  <c r="Z393" i="1" s="1"/>
  <c r="Z394" i="1" s="1"/>
  <c r="Z395" i="1" s="1"/>
  <c r="Z396" i="1" s="1"/>
  <c r="Z397" i="1" s="1"/>
  <c r="Z398" i="1" s="1"/>
  <c r="Z399" i="1" s="1"/>
  <c r="Z400" i="1" s="1"/>
  <c r="Z401" i="1" s="1"/>
  <c r="Z402" i="1" s="1"/>
  <c r="Z403" i="1" s="1"/>
  <c r="Z404" i="1" s="1"/>
  <c r="Z405" i="1" s="1"/>
  <c r="Z406" i="1" s="1"/>
  <c r="Z407" i="1" s="1"/>
  <c r="Z408" i="1" s="1"/>
  <c r="Z409" i="1" s="1"/>
  <c r="Z410" i="1" s="1"/>
  <c r="Z411" i="1" s="1"/>
  <c r="Z412" i="1" s="1"/>
  <c r="Z413" i="1" s="1"/>
  <c r="Z414" i="1" s="1"/>
  <c r="Z415" i="1" s="1"/>
  <c r="Z416" i="1" s="1"/>
  <c r="Z417" i="1" s="1"/>
  <c r="Z418" i="1" s="1"/>
  <c r="Z419" i="1" s="1"/>
  <c r="Z420" i="1" s="1"/>
  <c r="Z421" i="1" s="1"/>
  <c r="Z422" i="1" s="1"/>
  <c r="Z423" i="1" s="1"/>
  <c r="Z424" i="1" s="1"/>
  <c r="Z425" i="1" s="1"/>
  <c r="Z426" i="1" s="1"/>
  <c r="Z427" i="1" s="1"/>
  <c r="Z428" i="1" s="1"/>
  <c r="Z429" i="1" s="1"/>
  <c r="Z430" i="1" s="1"/>
  <c r="Z431" i="1" s="1"/>
  <c r="Z432" i="1" s="1"/>
  <c r="Z433" i="1" s="1"/>
  <c r="Z434" i="1" s="1"/>
  <c r="Z435" i="1" s="1"/>
  <c r="Z436" i="1" s="1"/>
  <c r="Z437" i="1" s="1"/>
  <c r="Z438" i="1" s="1"/>
  <c r="Z439" i="1" s="1"/>
  <c r="Z440" i="1" s="1"/>
  <c r="Z441" i="1" s="1"/>
  <c r="Z442" i="1" s="1"/>
  <c r="Z443" i="1" s="1"/>
  <c r="Z444" i="1" s="1"/>
  <c r="Z445" i="1" s="1"/>
  <c r="Z446" i="1" s="1"/>
  <c r="Z447" i="1" s="1"/>
  <c r="Z448" i="1" s="1"/>
  <c r="Z449" i="1" s="1"/>
  <c r="Z450" i="1" s="1"/>
  <c r="Z451" i="1" s="1"/>
  <c r="Z452" i="1" s="1"/>
  <c r="Z453" i="1" s="1"/>
  <c r="Z454" i="1" s="1"/>
  <c r="Z455" i="1" s="1"/>
  <c r="Z456" i="1" s="1"/>
  <c r="Z457" i="1" s="1"/>
  <c r="Z458" i="1" s="1"/>
  <c r="Z459" i="1" s="1"/>
  <c r="Z460" i="1" s="1"/>
  <c r="Z461" i="1" s="1"/>
  <c r="Z462" i="1" s="1"/>
  <c r="Z463" i="1" s="1"/>
  <c r="Z464" i="1" s="1"/>
  <c r="Z465" i="1" s="1"/>
  <c r="Z466" i="1" s="1"/>
  <c r="Z467" i="1" s="1"/>
  <c r="Z468" i="1" s="1"/>
  <c r="Z469" i="1" s="1"/>
  <c r="Z470" i="1" s="1"/>
  <c r="Z471" i="1" s="1"/>
  <c r="Z472" i="1" s="1"/>
  <c r="Z473" i="1" s="1"/>
  <c r="Z474" i="1" s="1"/>
  <c r="Z475" i="1" s="1"/>
  <c r="Z476" i="1" s="1"/>
  <c r="Z477" i="1" s="1"/>
  <c r="Z478" i="1" s="1"/>
  <c r="Z479" i="1" s="1"/>
  <c r="V3" i="1"/>
  <c r="V4" i="1" s="1"/>
  <c r="V5" i="1" s="1"/>
  <c r="V6" i="1" s="1"/>
  <c r="V7" i="1" s="1"/>
  <c r="V8" i="1" s="1"/>
  <c r="V9" i="1" s="1"/>
  <c r="V10" i="1" s="1"/>
  <c r="V11" i="1" s="1"/>
  <c r="V12" i="1" s="1"/>
  <c r="V13" i="1" s="1"/>
  <c r="V14" i="1" s="1"/>
  <c r="V15" i="1" s="1"/>
  <c r="V16" i="1" s="1"/>
  <c r="V17" i="1" s="1"/>
  <c r="V18" i="1" s="1"/>
  <c r="V19" i="1" s="1"/>
  <c r="V20" i="1" s="1"/>
  <c r="V21" i="1" s="1"/>
  <c r="V22" i="1" s="1"/>
  <c r="V23" i="1" s="1"/>
  <c r="V24" i="1" s="1"/>
  <c r="V25" i="1" s="1"/>
  <c r="V26" i="1" s="1"/>
  <c r="V27" i="1" s="1"/>
  <c r="V28" i="1" s="1"/>
  <c r="V29" i="1" s="1"/>
  <c r="V30" i="1" s="1"/>
  <c r="V31" i="1" s="1"/>
  <c r="V32" i="1" s="1"/>
  <c r="V33" i="1" s="1"/>
  <c r="V34" i="1" s="1"/>
  <c r="V35" i="1" s="1"/>
  <c r="V36" i="1" s="1"/>
  <c r="V37" i="1" s="1"/>
  <c r="V38" i="1" s="1"/>
  <c r="V39" i="1" s="1"/>
  <c r="V40" i="1" s="1"/>
  <c r="V41" i="1" s="1"/>
  <c r="V42" i="1" s="1"/>
  <c r="V43" i="1" s="1"/>
  <c r="V44" i="1" s="1"/>
  <c r="V45" i="1" s="1"/>
  <c r="V46" i="1" s="1"/>
  <c r="V47" i="1" s="1"/>
  <c r="V48" i="1" s="1"/>
  <c r="V49" i="1" s="1"/>
  <c r="V50" i="1" s="1"/>
  <c r="V51" i="1" s="1"/>
  <c r="V52" i="1" s="1"/>
  <c r="V53" i="1" s="1"/>
  <c r="V54" i="1" s="1"/>
  <c r="V55" i="1" s="1"/>
  <c r="V56" i="1" s="1"/>
  <c r="V57" i="1" s="1"/>
  <c r="V58" i="1" s="1"/>
  <c r="V59" i="1" s="1"/>
  <c r="V60" i="1" s="1"/>
  <c r="V61" i="1" s="1"/>
  <c r="V62" i="1" s="1"/>
  <c r="V63" i="1" s="1"/>
  <c r="V64" i="1" s="1"/>
  <c r="V65" i="1" s="1"/>
  <c r="V66" i="1" s="1"/>
  <c r="V67" i="1" s="1"/>
  <c r="V68" i="1" s="1"/>
  <c r="V69" i="1" s="1"/>
  <c r="V70" i="1" s="1"/>
  <c r="V71" i="1" s="1"/>
  <c r="V72" i="1" s="1"/>
  <c r="V73" i="1" s="1"/>
  <c r="V74" i="1" s="1"/>
  <c r="V75" i="1" s="1"/>
  <c r="V76" i="1" s="1"/>
  <c r="V77" i="1" s="1"/>
  <c r="V78" i="1" s="1"/>
  <c r="V79" i="1" s="1"/>
  <c r="V80" i="1" s="1"/>
  <c r="V81" i="1" s="1"/>
  <c r="V82" i="1" s="1"/>
  <c r="V83" i="1" s="1"/>
  <c r="V84" i="1" s="1"/>
  <c r="V85" i="1" s="1"/>
  <c r="V86" i="1" s="1"/>
  <c r="V87" i="1" s="1"/>
  <c r="V88" i="1" s="1"/>
  <c r="V89" i="1" s="1"/>
  <c r="V90" i="1" s="1"/>
  <c r="V91" i="1" s="1"/>
  <c r="V92" i="1" s="1"/>
  <c r="V93" i="1" s="1"/>
  <c r="V94" i="1" s="1"/>
  <c r="V95" i="1" s="1"/>
  <c r="V96" i="1" s="1"/>
  <c r="V97" i="1" s="1"/>
  <c r="V98" i="1" s="1"/>
  <c r="V99" i="1" s="1"/>
  <c r="V100" i="1" s="1"/>
  <c r="V101" i="1" s="1"/>
  <c r="V102" i="1" s="1"/>
  <c r="V103" i="1" s="1"/>
  <c r="V104" i="1" s="1"/>
  <c r="V105" i="1" s="1"/>
  <c r="V106" i="1" s="1"/>
  <c r="V107" i="1" s="1"/>
  <c r="V108" i="1" s="1"/>
  <c r="V109" i="1" s="1"/>
  <c r="V110" i="1" s="1"/>
  <c r="V111" i="1" s="1"/>
  <c r="V112" i="1" s="1"/>
  <c r="V113" i="1" s="1"/>
  <c r="V114" i="1" s="1"/>
  <c r="V115" i="1" s="1"/>
  <c r="V116" i="1" s="1"/>
  <c r="V117" i="1" s="1"/>
  <c r="V118" i="1" s="1"/>
  <c r="V119" i="1" s="1"/>
  <c r="V120" i="1" s="1"/>
  <c r="V121" i="1" s="1"/>
  <c r="V122" i="1" s="1"/>
  <c r="V123" i="1" s="1"/>
  <c r="V124" i="1" s="1"/>
  <c r="V125" i="1" s="1"/>
  <c r="V126" i="1" s="1"/>
  <c r="V127" i="1" s="1"/>
  <c r="V128" i="1" s="1"/>
  <c r="V129" i="1" s="1"/>
  <c r="V130" i="1" s="1"/>
  <c r="V131" i="1" s="1"/>
  <c r="V132" i="1" s="1"/>
  <c r="V133" i="1" s="1"/>
  <c r="V134" i="1" s="1"/>
  <c r="V135" i="1" s="1"/>
  <c r="V136" i="1" s="1"/>
  <c r="V137" i="1" s="1"/>
  <c r="V138" i="1" s="1"/>
  <c r="V139" i="1" s="1"/>
  <c r="V140" i="1" s="1"/>
  <c r="V141" i="1" s="1"/>
  <c r="V142" i="1" s="1"/>
  <c r="V143" i="1" s="1"/>
  <c r="V144" i="1" s="1"/>
  <c r="V145" i="1" s="1"/>
  <c r="V146" i="1" s="1"/>
  <c r="V147" i="1" s="1"/>
  <c r="V148" i="1" s="1"/>
  <c r="V149" i="1" s="1"/>
  <c r="V150" i="1" s="1"/>
  <c r="V151" i="1" s="1"/>
  <c r="V152" i="1" s="1"/>
  <c r="V153" i="1" s="1"/>
  <c r="V154" i="1" s="1"/>
  <c r="V155" i="1" s="1"/>
  <c r="V156" i="1" s="1"/>
  <c r="V157" i="1" s="1"/>
  <c r="V158" i="1" s="1"/>
  <c r="V159" i="1" s="1"/>
  <c r="V160" i="1" s="1"/>
  <c r="V161" i="1" s="1"/>
  <c r="V162" i="1" s="1"/>
  <c r="V163" i="1" s="1"/>
  <c r="V164" i="1" s="1"/>
  <c r="V165" i="1" s="1"/>
  <c r="V166" i="1" s="1"/>
  <c r="V167" i="1" s="1"/>
  <c r="V168" i="1" s="1"/>
  <c r="V169" i="1" s="1"/>
  <c r="V170" i="1" s="1"/>
  <c r="V171" i="1" s="1"/>
  <c r="V172" i="1" s="1"/>
  <c r="V173" i="1" s="1"/>
  <c r="V174" i="1" s="1"/>
  <c r="V175" i="1" s="1"/>
  <c r="V176" i="1" s="1"/>
  <c r="V177" i="1" s="1"/>
  <c r="V178" i="1" s="1"/>
  <c r="V179" i="1" s="1"/>
  <c r="V180" i="1" s="1"/>
  <c r="V181" i="1" s="1"/>
  <c r="V182" i="1" s="1"/>
  <c r="V183" i="1" s="1"/>
  <c r="V184" i="1" s="1"/>
  <c r="V185" i="1" s="1"/>
  <c r="V186" i="1" s="1"/>
  <c r="V187" i="1" s="1"/>
  <c r="V188" i="1" s="1"/>
  <c r="V189" i="1" s="1"/>
  <c r="V190" i="1" s="1"/>
  <c r="V191" i="1" s="1"/>
  <c r="V192" i="1" s="1"/>
  <c r="V193" i="1" s="1"/>
  <c r="V194" i="1" s="1"/>
  <c r="V195" i="1" s="1"/>
  <c r="V196" i="1" s="1"/>
  <c r="V197" i="1" s="1"/>
  <c r="V198" i="1" s="1"/>
  <c r="V199" i="1" s="1"/>
  <c r="V200" i="1" s="1"/>
  <c r="V201" i="1" s="1"/>
  <c r="V202" i="1" s="1"/>
  <c r="V203" i="1" s="1"/>
  <c r="V204" i="1" s="1"/>
  <c r="V205" i="1" s="1"/>
  <c r="V206" i="1" s="1"/>
  <c r="V207" i="1" s="1"/>
  <c r="V208" i="1" s="1"/>
  <c r="V209" i="1" s="1"/>
  <c r="V210" i="1" s="1"/>
  <c r="V211" i="1" s="1"/>
  <c r="V212" i="1" s="1"/>
  <c r="V213" i="1" s="1"/>
  <c r="V214" i="1" s="1"/>
  <c r="V215" i="1" s="1"/>
  <c r="V216" i="1" s="1"/>
  <c r="V217" i="1" s="1"/>
  <c r="V218" i="1" s="1"/>
  <c r="V219" i="1" s="1"/>
  <c r="V220" i="1" s="1"/>
  <c r="V221" i="1" s="1"/>
  <c r="V222" i="1" s="1"/>
  <c r="V223" i="1" s="1"/>
  <c r="V224" i="1" s="1"/>
  <c r="V225" i="1" s="1"/>
  <c r="V226" i="1" s="1"/>
  <c r="V227" i="1" s="1"/>
  <c r="V228" i="1" s="1"/>
  <c r="V229" i="1" s="1"/>
  <c r="V230" i="1" s="1"/>
  <c r="V231" i="1" s="1"/>
  <c r="V232" i="1" s="1"/>
  <c r="V233" i="1" s="1"/>
  <c r="V234" i="1" s="1"/>
  <c r="V235" i="1" s="1"/>
  <c r="V236" i="1" s="1"/>
  <c r="V237" i="1" s="1"/>
  <c r="V238" i="1" s="1"/>
  <c r="V239" i="1" s="1"/>
  <c r="V240" i="1" s="1"/>
  <c r="V241" i="1" s="1"/>
  <c r="V242" i="1" s="1"/>
  <c r="V243" i="1" s="1"/>
  <c r="V244" i="1" s="1"/>
  <c r="V245" i="1" s="1"/>
  <c r="V246" i="1" s="1"/>
  <c r="V247" i="1" s="1"/>
  <c r="V248" i="1" s="1"/>
  <c r="V249" i="1" s="1"/>
  <c r="V250" i="1" s="1"/>
  <c r="V251" i="1" s="1"/>
  <c r="V252" i="1" s="1"/>
  <c r="V253" i="1" s="1"/>
  <c r="V254" i="1" s="1"/>
  <c r="V255" i="1" s="1"/>
  <c r="V256" i="1" s="1"/>
  <c r="V257" i="1" s="1"/>
  <c r="V258" i="1" s="1"/>
  <c r="V259" i="1" s="1"/>
  <c r="V260" i="1" s="1"/>
  <c r="V261" i="1" s="1"/>
  <c r="V262" i="1" s="1"/>
  <c r="V263" i="1" s="1"/>
  <c r="V264" i="1" s="1"/>
  <c r="V265" i="1" s="1"/>
  <c r="V266" i="1" s="1"/>
  <c r="V267" i="1" s="1"/>
  <c r="V268" i="1" s="1"/>
  <c r="V269" i="1" s="1"/>
  <c r="V270" i="1" s="1"/>
  <c r="V271" i="1" s="1"/>
  <c r="V272" i="1" s="1"/>
  <c r="V273" i="1" s="1"/>
  <c r="V274" i="1" s="1"/>
  <c r="V275" i="1" s="1"/>
  <c r="V276" i="1" s="1"/>
  <c r="V277" i="1" s="1"/>
  <c r="V278" i="1" s="1"/>
  <c r="V279" i="1" s="1"/>
  <c r="V280" i="1" s="1"/>
  <c r="V281" i="1" s="1"/>
  <c r="V282" i="1" s="1"/>
  <c r="V283" i="1" s="1"/>
  <c r="V284" i="1" s="1"/>
  <c r="V285" i="1" s="1"/>
  <c r="V286" i="1" s="1"/>
  <c r="V287" i="1" s="1"/>
  <c r="V288" i="1" s="1"/>
  <c r="V289" i="1" s="1"/>
  <c r="V290" i="1" s="1"/>
  <c r="V291" i="1" s="1"/>
  <c r="V292" i="1" s="1"/>
  <c r="V293" i="1" s="1"/>
  <c r="V294" i="1" s="1"/>
  <c r="V295" i="1" s="1"/>
  <c r="V296" i="1" s="1"/>
  <c r="V297" i="1" s="1"/>
  <c r="V298" i="1" s="1"/>
  <c r="V299" i="1" s="1"/>
  <c r="V300" i="1" s="1"/>
  <c r="V301" i="1" s="1"/>
  <c r="V302" i="1" s="1"/>
  <c r="V303" i="1" s="1"/>
  <c r="V304" i="1" s="1"/>
  <c r="V305" i="1" s="1"/>
  <c r="V306" i="1" s="1"/>
  <c r="V307" i="1" s="1"/>
  <c r="V308" i="1" s="1"/>
  <c r="V309" i="1" s="1"/>
  <c r="V310" i="1" s="1"/>
  <c r="V311" i="1" s="1"/>
  <c r="V312" i="1" s="1"/>
  <c r="V313" i="1" s="1"/>
  <c r="V314" i="1" s="1"/>
  <c r="V315" i="1" s="1"/>
  <c r="V316" i="1" s="1"/>
  <c r="V317" i="1" s="1"/>
  <c r="V318" i="1" s="1"/>
  <c r="V319" i="1" s="1"/>
  <c r="V320" i="1" s="1"/>
  <c r="V321" i="1" s="1"/>
  <c r="V322" i="1" s="1"/>
  <c r="V323" i="1" s="1"/>
  <c r="V324" i="1" s="1"/>
  <c r="V325" i="1" s="1"/>
  <c r="V326" i="1" s="1"/>
  <c r="V327" i="1" s="1"/>
  <c r="V328" i="1" s="1"/>
  <c r="V329" i="1" s="1"/>
  <c r="V330" i="1" s="1"/>
  <c r="V331" i="1" s="1"/>
  <c r="V332" i="1" s="1"/>
  <c r="V333" i="1" s="1"/>
  <c r="V334" i="1" s="1"/>
  <c r="V335" i="1" s="1"/>
  <c r="V336" i="1" s="1"/>
  <c r="V337" i="1" s="1"/>
  <c r="V338" i="1" s="1"/>
  <c r="V339" i="1" s="1"/>
  <c r="V340" i="1" s="1"/>
  <c r="V341" i="1" s="1"/>
  <c r="V342" i="1" s="1"/>
  <c r="V343" i="1" s="1"/>
  <c r="V344" i="1" s="1"/>
  <c r="V345" i="1" s="1"/>
  <c r="V346" i="1" s="1"/>
  <c r="V347" i="1" s="1"/>
  <c r="V348" i="1" s="1"/>
  <c r="V349" i="1" s="1"/>
  <c r="V350" i="1" s="1"/>
  <c r="V351" i="1" s="1"/>
  <c r="V352" i="1" s="1"/>
  <c r="V353" i="1" s="1"/>
  <c r="V354" i="1" s="1"/>
  <c r="V355" i="1" s="1"/>
  <c r="V356" i="1" s="1"/>
  <c r="V357" i="1" s="1"/>
  <c r="V358" i="1" s="1"/>
  <c r="V359" i="1" s="1"/>
  <c r="V360" i="1" s="1"/>
  <c r="V361" i="1" s="1"/>
  <c r="V362" i="1" s="1"/>
  <c r="V363" i="1" s="1"/>
  <c r="V364" i="1" s="1"/>
  <c r="V365" i="1" s="1"/>
  <c r="V366" i="1" s="1"/>
  <c r="V367" i="1" s="1"/>
  <c r="V368" i="1" s="1"/>
  <c r="V369" i="1" s="1"/>
  <c r="V370" i="1" s="1"/>
  <c r="V371" i="1" s="1"/>
  <c r="V372" i="1" s="1"/>
  <c r="V373" i="1" s="1"/>
  <c r="V374" i="1" s="1"/>
  <c r="V375" i="1" s="1"/>
  <c r="V376" i="1" s="1"/>
  <c r="V377" i="1" s="1"/>
  <c r="V378" i="1" s="1"/>
  <c r="V379" i="1" s="1"/>
  <c r="V380" i="1" s="1"/>
  <c r="V381" i="1" s="1"/>
  <c r="V382" i="1" s="1"/>
  <c r="V383" i="1" s="1"/>
  <c r="V384" i="1" s="1"/>
  <c r="V385" i="1" s="1"/>
  <c r="V386" i="1" s="1"/>
  <c r="V387" i="1" s="1"/>
  <c r="V388" i="1" s="1"/>
  <c r="V389" i="1" s="1"/>
  <c r="V390" i="1" s="1"/>
  <c r="V391" i="1" s="1"/>
  <c r="V392" i="1" s="1"/>
  <c r="V393" i="1" s="1"/>
  <c r="V394" i="1" s="1"/>
  <c r="V395" i="1" s="1"/>
  <c r="V396" i="1" s="1"/>
  <c r="V397" i="1" s="1"/>
  <c r="V398" i="1" s="1"/>
  <c r="V399" i="1" s="1"/>
  <c r="V400" i="1" s="1"/>
  <c r="V401" i="1" s="1"/>
  <c r="V402" i="1" s="1"/>
  <c r="V403" i="1" s="1"/>
  <c r="V404" i="1" s="1"/>
  <c r="V405" i="1" s="1"/>
  <c r="V406" i="1" s="1"/>
  <c r="V407" i="1" s="1"/>
  <c r="V408" i="1" s="1"/>
  <c r="V409" i="1" s="1"/>
  <c r="V410" i="1" s="1"/>
  <c r="V411" i="1" s="1"/>
  <c r="V412" i="1" s="1"/>
  <c r="V413" i="1" s="1"/>
  <c r="V414" i="1" s="1"/>
  <c r="V415" i="1" s="1"/>
  <c r="V416" i="1" s="1"/>
  <c r="V417" i="1" s="1"/>
  <c r="V418" i="1" s="1"/>
  <c r="V419" i="1" s="1"/>
  <c r="V420" i="1" s="1"/>
  <c r="V421" i="1" s="1"/>
  <c r="V422" i="1" s="1"/>
  <c r="V423" i="1" s="1"/>
  <c r="V424" i="1" s="1"/>
  <c r="V425" i="1" s="1"/>
  <c r="V426" i="1" s="1"/>
  <c r="V427" i="1" s="1"/>
  <c r="V428" i="1" s="1"/>
  <c r="V429" i="1" s="1"/>
  <c r="V430" i="1" s="1"/>
  <c r="V431" i="1" s="1"/>
  <c r="V432" i="1" s="1"/>
  <c r="V433" i="1" s="1"/>
  <c r="V434" i="1" s="1"/>
  <c r="V435" i="1" s="1"/>
  <c r="V436" i="1" s="1"/>
  <c r="V437" i="1" s="1"/>
  <c r="V438" i="1" s="1"/>
  <c r="V439" i="1" s="1"/>
  <c r="V440" i="1" s="1"/>
  <c r="V441" i="1" s="1"/>
  <c r="V442" i="1" s="1"/>
  <c r="V443" i="1" s="1"/>
  <c r="V444" i="1" s="1"/>
  <c r="V445" i="1" s="1"/>
  <c r="V446" i="1" s="1"/>
  <c r="V447" i="1" s="1"/>
  <c r="V448" i="1" s="1"/>
  <c r="V449" i="1" s="1"/>
  <c r="V450" i="1" s="1"/>
  <c r="V451" i="1" s="1"/>
  <c r="V452" i="1" s="1"/>
  <c r="V453" i="1" s="1"/>
  <c r="V454" i="1" s="1"/>
  <c r="V455" i="1" s="1"/>
  <c r="V456" i="1" s="1"/>
  <c r="V457" i="1" s="1"/>
  <c r="V458" i="1" s="1"/>
  <c r="V459" i="1" s="1"/>
  <c r="V460" i="1" s="1"/>
  <c r="V461" i="1" s="1"/>
  <c r="V462" i="1" s="1"/>
  <c r="V463" i="1" s="1"/>
  <c r="V464" i="1" s="1"/>
  <c r="V465" i="1" s="1"/>
  <c r="V466" i="1" s="1"/>
  <c r="V467" i="1" s="1"/>
  <c r="V468" i="1" s="1"/>
  <c r="V469" i="1" s="1"/>
  <c r="V470" i="1" s="1"/>
  <c r="V471" i="1" s="1"/>
  <c r="V472" i="1" s="1"/>
  <c r="V473" i="1" s="1"/>
  <c r="V474" i="1" s="1"/>
  <c r="V475" i="1" s="1"/>
  <c r="V476" i="1" s="1"/>
  <c r="V477" i="1" s="1"/>
  <c r="V478" i="1" s="1"/>
  <c r="V479" i="1" s="1"/>
</calcChain>
</file>

<file path=xl/sharedStrings.xml><?xml version="1.0" encoding="utf-8"?>
<sst xmlns="http://schemas.openxmlformats.org/spreadsheetml/2006/main" count="557" uniqueCount="447">
  <si>
    <t>Run</t>
  </si>
  <si>
    <t>Mutation</t>
  </si>
  <si>
    <t>log10pvFISH</t>
  </si>
  <si>
    <t>Chi2</t>
  </si>
  <si>
    <t>ORF1a:2219</t>
  </si>
  <si>
    <t>S:327</t>
  </si>
  <si>
    <t>N:365</t>
  </si>
  <si>
    <t>N:366</t>
  </si>
  <si>
    <t>ORF1a:1323</t>
  </si>
  <si>
    <t>ORF1a:4090</t>
  </si>
  <si>
    <t>ORF1a:38</t>
  </si>
  <si>
    <t>ORF1a:2500</t>
  </si>
  <si>
    <t>ORF7a:56</t>
  </si>
  <si>
    <t>ORF1a:2904</t>
  </si>
  <si>
    <t>ORF3a:151</t>
  </si>
  <si>
    <t>ORF1a:2147</t>
  </si>
  <si>
    <t>ORF1b:1452</t>
  </si>
  <si>
    <t>E:9</t>
  </si>
  <si>
    <t>ORF3a:213</t>
  </si>
  <si>
    <t>ORF1a:3349</t>
  </si>
  <si>
    <t>S:1003</t>
  </si>
  <si>
    <t>S:1006</t>
  </si>
  <si>
    <t>N:270</t>
  </si>
  <si>
    <t>S:572</t>
  </si>
  <si>
    <t>E:10</t>
  </si>
  <si>
    <t>ORF1a:3058</t>
  </si>
  <si>
    <t>ORF1a:4302</t>
  </si>
  <si>
    <t>S:187</t>
  </si>
  <si>
    <t>ORF3a:196</t>
  </si>
  <si>
    <t>ORF1a:3753</t>
  </si>
  <si>
    <t>ORF1b:1003</t>
  </si>
  <si>
    <t>ORF1a:1474</t>
  </si>
  <si>
    <t>ORF9b:57</t>
  </si>
  <si>
    <t>ORF1a:1322</t>
  </si>
  <si>
    <t>ORF1a:4097</t>
  </si>
  <si>
    <t>ORF1a:1372</t>
  </si>
  <si>
    <t>ORF1a:3108</t>
  </si>
  <si>
    <t>ORF1a:85</t>
  </si>
  <si>
    <t>S:153</t>
  </si>
  <si>
    <t>ORF1b:1162</t>
  </si>
  <si>
    <t>S:94</t>
  </si>
  <si>
    <t>&gt;491.55</t>
  </si>
  <si>
    <t>S:1084</t>
  </si>
  <si>
    <t>ORF1a:4164</t>
  </si>
  <si>
    <t>N:378</t>
  </si>
  <si>
    <t>ORF1a:3694</t>
  </si>
  <si>
    <t>S:570</t>
  </si>
  <si>
    <t>S:1103</t>
  </si>
  <si>
    <t>N:413</t>
  </si>
  <si>
    <t>ORF1a:4166</t>
  </si>
  <si>
    <t>ORF1b:2537</t>
  </si>
  <si>
    <t>ORF1a:2136</t>
  </si>
  <si>
    <t>ORF7a:8</t>
  </si>
  <si>
    <t>ORF1a:2329</t>
  </si>
  <si>
    <t>ORF1a:2353</t>
  </si>
  <si>
    <t>ORF1a:2146</t>
  </si>
  <si>
    <t>M:40</t>
  </si>
  <si>
    <t>ORF1b:76</t>
  </si>
  <si>
    <t>ORF3a:185</t>
  </si>
  <si>
    <t>S:250</t>
  </si>
  <si>
    <t>N:151</t>
  </si>
  <si>
    <t>ORF1a:555</t>
  </si>
  <si>
    <t>ORF1a:3201</t>
  </si>
  <si>
    <t>ORF1a:2328</t>
  </si>
  <si>
    <t>S:1079</t>
  </si>
  <si>
    <t>S:1258</t>
  </si>
  <si>
    <t>M:3</t>
  </si>
  <si>
    <t>ORF1a:33</t>
  </si>
  <si>
    <t>ORF1a:1715</t>
  </si>
  <si>
    <t>ORF1a:3432</t>
  </si>
  <si>
    <t>N:194</t>
  </si>
  <si>
    <t>N:195</t>
  </si>
  <si>
    <t>E:55</t>
  </si>
  <si>
    <t>ORF3a:177</t>
  </si>
  <si>
    <t>ORF1a:1545</t>
  </si>
  <si>
    <t>ORF1a:3454</t>
  </si>
  <si>
    <t>ORF3a:78</t>
  </si>
  <si>
    <t>ORF8:51</t>
  </si>
  <si>
    <t>ORF1a:1369</t>
  </si>
  <si>
    <t>ORF8:110</t>
  </si>
  <si>
    <t>ORF3a:44</t>
  </si>
  <si>
    <t>ORF9b:68</t>
  </si>
  <si>
    <t>ORF1a:93</t>
  </si>
  <si>
    <t>ORF1a:2046</t>
  </si>
  <si>
    <t>ORF1a:1779</t>
  </si>
  <si>
    <t>M:73</t>
  </si>
  <si>
    <t>ORF1b:1126</t>
  </si>
  <si>
    <t>S:1144</t>
  </si>
  <si>
    <t>ORF1b:662</t>
  </si>
  <si>
    <t>ORF7a:115</t>
  </si>
  <si>
    <t>M:52</t>
  </si>
  <si>
    <t>N:398</t>
  </si>
  <si>
    <t>ORF1a:1500</t>
  </si>
  <si>
    <t>ORF7a:39</t>
  </si>
  <si>
    <t>S:688</t>
  </si>
  <si>
    <t>ORF6:6</t>
  </si>
  <si>
    <t>ORF1a:309</t>
  </si>
  <si>
    <t>ORF3a:13</t>
  </si>
  <si>
    <t>ORF1a:519</t>
  </si>
  <si>
    <t>ORF1a:1529</t>
  </si>
  <si>
    <t>ORF1a:2007</t>
  </si>
  <si>
    <t>ORF1a:3580</t>
  </si>
  <si>
    <t>S:221</t>
  </si>
  <si>
    <t>E:62</t>
  </si>
  <si>
    <t>ORF1a:150</t>
  </si>
  <si>
    <t>ORF1a:170</t>
  </si>
  <si>
    <t>ORF1a:3604</t>
  </si>
  <si>
    <t>ORF1a:1324</t>
  </si>
  <si>
    <t>S:77</t>
  </si>
  <si>
    <t>ORF1a:166</t>
  </si>
  <si>
    <t>ORF1a:2320</t>
  </si>
  <si>
    <t>ORF1a:2259</t>
  </si>
  <si>
    <t>N:362</t>
  </si>
  <si>
    <t>ORF1b:1404</t>
  </si>
  <si>
    <t>ORF9b:64</t>
  </si>
  <si>
    <t>ORF1a:4086</t>
  </si>
  <si>
    <t>ORF7a:71</t>
  </si>
  <si>
    <t>ORF7a:103</t>
  </si>
  <si>
    <t>ORF1b:50</t>
  </si>
  <si>
    <t>E:14</t>
  </si>
  <si>
    <t>ORF3a:245</t>
  </si>
  <si>
    <t>E:44</t>
  </si>
  <si>
    <t>ORF8:120</t>
  </si>
  <si>
    <t>ORF1a:4355</t>
  </si>
  <si>
    <t>M:12</t>
  </si>
  <si>
    <t>ORF1a:3353</t>
  </si>
  <si>
    <t>S:50</t>
  </si>
  <si>
    <t>ORF1a:2617</t>
  </si>
  <si>
    <t>ORF1a:1393</t>
  </si>
  <si>
    <t>S:554</t>
  </si>
  <si>
    <t>ORF1a:1794</t>
  </si>
  <si>
    <t>&gt;90.88</t>
  </si>
  <si>
    <t>ORF9b:93</t>
  </si>
  <si>
    <t>ORF1a:708</t>
  </si>
  <si>
    <t>M:109</t>
  </si>
  <si>
    <t>ORF1a:1714</t>
  </si>
  <si>
    <t>S:252</t>
  </si>
  <si>
    <t>ORF3a:101</t>
  </si>
  <si>
    <t>ORF1a:1365</t>
  </si>
  <si>
    <t>ORF1b:1570</t>
  </si>
  <si>
    <t>ORF1b:1074</t>
  </si>
  <si>
    <t>&gt;125.29</t>
  </si>
  <si>
    <t>ORF9b:89</t>
  </si>
  <si>
    <t>ORF1a:102</t>
  </si>
  <si>
    <t>ORF1a:2144</t>
  </si>
  <si>
    <t>ORF1a:3164</t>
  </si>
  <si>
    <t>ORF1a:4311</t>
  </si>
  <si>
    <t>S:834</t>
  </si>
  <si>
    <t>ORF1b:440</t>
  </si>
  <si>
    <t>S:677</t>
  </si>
  <si>
    <t>ORF1a:2926</t>
  </si>
  <si>
    <t>S:150</t>
  </si>
  <si>
    <t>S:152</t>
  </si>
  <si>
    <t>ORF1a:2859</t>
  </si>
  <si>
    <t>S:1182</t>
  </si>
  <si>
    <t>ORF1a:1043</t>
  </si>
  <si>
    <t>ORF1a:1822</t>
  </si>
  <si>
    <t>S:9</t>
  </si>
  <si>
    <t>ORF1b:2565</t>
  </si>
  <si>
    <t>ORF1a:3648</t>
  </si>
  <si>
    <t>S:190</t>
  </si>
  <si>
    <t>ORF8:1</t>
  </si>
  <si>
    <t>S:547</t>
  </si>
  <si>
    <t>M:85</t>
  </si>
  <si>
    <t>ORF1a:892</t>
  </si>
  <si>
    <t>ORF1a:3808</t>
  </si>
  <si>
    <t>ORF3a:259</t>
  </si>
  <si>
    <t>ORF7a:81</t>
  </si>
  <si>
    <t>ORF1a:4099</t>
  </si>
  <si>
    <t>ORF1b:1550</t>
  </si>
  <si>
    <t>ORF1b:2306</t>
  </si>
  <si>
    <t>ORF9b:96</t>
  </si>
  <si>
    <t>S:69</t>
  </si>
  <si>
    <t>S:273</t>
  </si>
  <si>
    <t>ORF8:84</t>
  </si>
  <si>
    <t>ORF1b:1499</t>
  </si>
  <si>
    <t>S:14</t>
  </si>
  <si>
    <t>S:15</t>
  </si>
  <si>
    <t>ORF1b:2633</t>
  </si>
  <si>
    <t>S:1179</t>
  </si>
  <si>
    <t>ORF1a:1795</t>
  </si>
  <si>
    <t>ORF1a:4398</t>
  </si>
  <si>
    <t>ORF1b:275</t>
  </si>
  <si>
    <t>ORF1a:4161</t>
  </si>
  <si>
    <t>S:51</t>
  </si>
  <si>
    <t>N:152</t>
  </si>
  <si>
    <t>ORF7a:22</t>
  </si>
  <si>
    <t>ORF7a:83</t>
  </si>
  <si>
    <t>&gt;208.71</t>
  </si>
  <si>
    <t>ORF1b:1302</t>
  </si>
  <si>
    <t>N:244</t>
  </si>
  <si>
    <t>ORF1b:635</t>
  </si>
  <si>
    <t>ORF1a:122</t>
  </si>
  <si>
    <t>ORF9b:95</t>
  </si>
  <si>
    <t>ORF1a:1248</t>
  </si>
  <si>
    <t>S:213</t>
  </si>
  <si>
    <t>ORF1a:203</t>
  </si>
  <si>
    <t>S:68</t>
  </si>
  <si>
    <t>ORF1a:4165</t>
  </si>
  <si>
    <t>ORF1b:688</t>
  </si>
  <si>
    <t>ORF1a:935</t>
  </si>
  <si>
    <t>&gt;203.06</t>
  </si>
  <si>
    <t>M:101</t>
  </si>
  <si>
    <t>M:104</t>
  </si>
  <si>
    <t>S:19</t>
  </si>
  <si>
    <t>M:80</t>
  </si>
  <si>
    <t>&gt;108.72</t>
  </si>
  <si>
    <t>ORF1a:1631</t>
  </si>
  <si>
    <t>ORF1b:1774</t>
  </si>
  <si>
    <t>ORF1a:2406</t>
  </si>
  <si>
    <t>ORF8:27</t>
  </si>
  <si>
    <t>ORF1b:1424</t>
  </si>
  <si>
    <t>S:177</t>
  </si>
  <si>
    <t>N:326</t>
  </si>
  <si>
    <t>ORF1a:3504</t>
  </si>
  <si>
    <t>M:197</t>
  </si>
  <si>
    <t>ORF1a:1273</t>
  </si>
  <si>
    <t>ORF1a:2057</t>
  </si>
  <si>
    <t>ORF1a:1769</t>
  </si>
  <si>
    <t>ORF1b:1223</t>
  </si>
  <si>
    <t>ORF1a:971</t>
  </si>
  <si>
    <t>ORF1a:2134</t>
  </si>
  <si>
    <t>ORF3a:99</t>
  </si>
  <si>
    <t>ORF1a:233</t>
  </si>
  <si>
    <t>ORF1a:3922</t>
  </si>
  <si>
    <t>S:641</t>
  </si>
  <si>
    <t>E:23</t>
  </si>
  <si>
    <t>ORF1b:2557</t>
  </si>
  <si>
    <t>ORF1a:3653</t>
  </si>
  <si>
    <t>E:16</t>
  </si>
  <si>
    <t>ORF1a:1710</t>
  </si>
  <si>
    <t>ORF1b:1290</t>
  </si>
  <si>
    <t>ORF1a:3893</t>
  </si>
  <si>
    <t>ORF1a:1638</t>
  </si>
  <si>
    <t>ORF1a:4175</t>
  </si>
  <si>
    <t>ORF6:10</t>
  </si>
  <si>
    <t>S:201</t>
  </si>
  <si>
    <t>ORF8:18</t>
  </si>
  <si>
    <t>N:322</t>
  </si>
  <si>
    <t>ORF7a:96</t>
  </si>
  <si>
    <t>S:622</t>
  </si>
  <si>
    <t>N:327</t>
  </si>
  <si>
    <t>ORF1a:2171</t>
  </si>
  <si>
    <t>ORF1a:3732</t>
  </si>
  <si>
    <t>ORF1a:4110</t>
  </si>
  <si>
    <t>ORF1b:1273</t>
  </si>
  <si>
    <t>ORF1a:3657</t>
  </si>
  <si>
    <t>ORF7a:116</t>
  </si>
  <si>
    <t>ORF1a:1223</t>
  </si>
  <si>
    <t>ORF3a:27</t>
  </si>
  <si>
    <t>ORF1b:2048</t>
  </si>
  <si>
    <t>ORF1a:1168</t>
  </si>
  <si>
    <t>S:1020</t>
  </si>
  <si>
    <t>ORF3a:140</t>
  </si>
  <si>
    <t>M:6</t>
  </si>
  <si>
    <t>ORF1a:2980</t>
  </si>
  <si>
    <t>ORF9b:86</t>
  </si>
  <si>
    <t>ORF1a:3515</t>
  </si>
  <si>
    <t>S:938</t>
  </si>
  <si>
    <t>ORF1a:2648</t>
  </si>
  <si>
    <t>ORF9b:77</t>
  </si>
  <si>
    <t>ORF1a:2501</t>
  </si>
  <si>
    <t>ORF1a:3966</t>
  </si>
  <si>
    <t>ORF1a:1314</t>
  </si>
  <si>
    <t>ORF1a:138</t>
  </si>
  <si>
    <t>S:936</t>
  </si>
  <si>
    <t>ORF1a:2325</t>
  </si>
  <si>
    <t>ORF1b:657</t>
  </si>
  <si>
    <t>M:48</t>
  </si>
  <si>
    <t>ORF9b:3</t>
  </si>
  <si>
    <t>E:30</t>
  </si>
  <si>
    <t>N:387</t>
  </si>
  <si>
    <t>N:391</t>
  </si>
  <si>
    <t>ORF1a:2139</t>
  </si>
  <si>
    <t>S:764</t>
  </si>
  <si>
    <t>ORF1a:652</t>
  </si>
  <si>
    <t>S:549</t>
  </si>
  <si>
    <t>&gt;940.0</t>
  </si>
  <si>
    <t>ORF1a:2256</t>
  </si>
  <si>
    <t>M:94</t>
  </si>
  <si>
    <t>ORF1b:730</t>
  </si>
  <si>
    <t>ORF1b:2432</t>
  </si>
  <si>
    <t>ORF1a:2471</t>
  </si>
  <si>
    <t>N:154</t>
  </si>
  <si>
    <t>N:155</t>
  </si>
  <si>
    <t>ORF1b:604</t>
  </si>
  <si>
    <t>ORF1b:2488</t>
  </si>
  <si>
    <t>ORF1a:47</t>
  </si>
  <si>
    <t>ORF1a:4197</t>
  </si>
  <si>
    <t>ORF1b:1220</t>
  </si>
  <si>
    <t>ORF1a:2166</t>
  </si>
  <si>
    <t>S:240</t>
  </si>
  <si>
    <t>ORF1a:1542</t>
  </si>
  <si>
    <t>ORF8:46</t>
  </si>
  <si>
    <t>E:11</t>
  </si>
  <si>
    <t>E:51</t>
  </si>
  <si>
    <t>S:765</t>
  </si>
  <si>
    <t>ORF1a:2345</t>
  </si>
  <si>
    <t>ORF1a:2149</t>
  </si>
  <si>
    <t>ORF1a:165</t>
  </si>
  <si>
    <t>ORF3a:74</t>
  </si>
  <si>
    <t>S:892</t>
  </si>
  <si>
    <t>&gt;124.04</t>
  </si>
  <si>
    <t>ORF1a:541</t>
  </si>
  <si>
    <t>ORF1a:498</t>
  </si>
  <si>
    <t>ORF1a:3220</t>
  </si>
  <si>
    <t>ORF1a:4216</t>
  </si>
  <si>
    <t>ORF1a:526</t>
  </si>
  <si>
    <t>S:740</t>
  </si>
  <si>
    <t>ORF1b:1443</t>
  </si>
  <si>
    <t>ORF1a:3076</t>
  </si>
  <si>
    <t>ORF3a:182</t>
  </si>
  <si>
    <t>ORF9b:7</t>
  </si>
  <si>
    <t>S:647</t>
  </si>
  <si>
    <t>ORF7b:42</t>
  </si>
  <si>
    <t>ORF1a:2016</t>
  </si>
  <si>
    <t>ORF1a:2029</t>
  </si>
  <si>
    <t>S:1143</t>
  </si>
  <si>
    <t>M:49</t>
  </si>
  <si>
    <t>S:215</t>
  </si>
  <si>
    <t>ORF8:92</t>
  </si>
  <si>
    <t>&gt;114.81</t>
  </si>
  <si>
    <t>ORF1a:417</t>
  </si>
  <si>
    <t>S:22</t>
  </si>
  <si>
    <t>S:730</t>
  </si>
  <si>
    <t>&gt;112.71</t>
  </si>
  <si>
    <t>S:231</t>
  </si>
  <si>
    <t>S:1009</t>
  </si>
  <si>
    <t>ORF1a:2124</t>
  </si>
  <si>
    <t>ORF1a:3172</t>
  </si>
  <si>
    <t>ORF1b:2311</t>
  </si>
  <si>
    <t>M:69</t>
  </si>
  <si>
    <t>S:185</t>
  </si>
  <si>
    <t>ORF1a:4065</t>
  </si>
  <si>
    <t>ORF1a:1073</t>
  </si>
  <si>
    <t>ORF3a:256</t>
  </si>
  <si>
    <t>ORF1a:265</t>
  </si>
  <si>
    <t>ORF1a:944</t>
  </si>
  <si>
    <t>ORF1a:3752</t>
  </si>
  <si>
    <t>ORF1a:3754</t>
  </si>
  <si>
    <t>ORF9b:32</t>
  </si>
  <si>
    <t>S:95</t>
  </si>
  <si>
    <t>ORF1a:531</t>
  </si>
  <si>
    <t>ORF8:67</t>
  </si>
  <si>
    <t>M:83</t>
  </si>
  <si>
    <t>ORF1b:1897</t>
  </si>
  <si>
    <t>M:17</t>
  </si>
  <si>
    <t>ORF1b:1540</t>
  </si>
  <si>
    <t>ORF3a:95</t>
  </si>
  <si>
    <t>ORF3a:98</t>
  </si>
  <si>
    <t>ORF1a:4098</t>
  </si>
  <si>
    <t>M:45</t>
  </si>
  <si>
    <t>ORF1a:3620</t>
  </si>
  <si>
    <t>S:659</t>
  </si>
  <si>
    <t>S:569</t>
  </si>
  <si>
    <t>ORF1a:3027</t>
  </si>
  <si>
    <t>ORF1a:3697</t>
  </si>
  <si>
    <t>ORF1a:2963</t>
  </si>
  <si>
    <t>ORF1a:2967</t>
  </si>
  <si>
    <t>ORF1a:2535</t>
  </si>
  <si>
    <t>ORF1a:286</t>
  </si>
  <si>
    <t>S:299</t>
  </si>
  <si>
    <t>ORF3a:257</t>
  </si>
  <si>
    <t>ORF3a:63</t>
  </si>
  <si>
    <t>ORF1b:1354</t>
  </si>
  <si>
    <t>ORF9b:6</t>
  </si>
  <si>
    <t>ORF1b:1315</t>
  </si>
  <si>
    <t>ORF1a:929</t>
  </si>
  <si>
    <t>ORF1a:3802</t>
  </si>
  <si>
    <t>ORF1a:2400</t>
  </si>
  <si>
    <t>&gt;137.81</t>
  </si>
  <si>
    <t>ORF1a:753</t>
  </si>
  <si>
    <t>ORF9b:13</t>
  </si>
  <si>
    <t>ORF1b:1681</t>
  </si>
  <si>
    <t>E:50</t>
  </si>
  <si>
    <t>S:1027</t>
  </si>
  <si>
    <t>ORF9b:47</t>
  </si>
  <si>
    <t>ORF1a:4102</t>
  </si>
  <si>
    <t>ORF7b:15</t>
  </si>
  <si>
    <t>ORF1b:1675</t>
  </si>
  <si>
    <t>ORF1a:2710</t>
  </si>
  <si>
    <t>ORF1a:57</t>
  </si>
  <si>
    <t>ORF1a:1497</t>
  </si>
  <si>
    <t>S:183</t>
  </si>
  <si>
    <t>M:138</t>
  </si>
  <si>
    <t>ORF7b:31</t>
  </si>
  <si>
    <t>&gt;47.61</t>
  </si>
  <si>
    <t>ORF1b:1259</t>
  </si>
  <si>
    <t>S:32</t>
  </si>
  <si>
    <t>S:174</t>
  </si>
  <si>
    <t>M:7</t>
  </si>
  <si>
    <t>ORF1a:3222</t>
  </si>
  <si>
    <t>ORF1b:927</t>
  </si>
  <si>
    <t>S:574</t>
  </si>
  <si>
    <t>ORF6:32</t>
  </si>
  <si>
    <t>ORF1a:114</t>
  </si>
  <si>
    <t>S:969</t>
  </si>
  <si>
    <t>ORF1a:290</t>
  </si>
  <si>
    <t>ORF1a:4085</t>
  </si>
  <si>
    <t>S:245</t>
  </si>
  <si>
    <t>ORF3a:241</t>
  </si>
  <si>
    <t>ORF1b:83</t>
  </si>
  <si>
    <t>ORF9b:9</t>
  </si>
  <si>
    <t>Seedmut Index</t>
  </si>
  <si>
    <t>MP Tot Mut ct</t>
  </si>
  <si>
    <t>MP Tot Reg ct</t>
  </si>
  <si>
    <t>Reg Tot Mut ct</t>
  </si>
  <si>
    <t>MP Mut ct</t>
  </si>
  <si>
    <t>EPCI Mut ct</t>
  </si>
  <si>
    <t>Adjusted MP seq ct</t>
  </si>
  <si>
    <t>EPCI pct</t>
  </si>
  <si>
    <t>MP pct</t>
  </si>
  <si>
    <t>non MP pct</t>
  </si>
  <si>
    <t>Fishers Exact Test pval</t>
  </si>
  <si>
    <t>Fold Incr</t>
  </si>
  <si>
    <t>EPCI HQCS Ratio</t>
  </si>
  <si>
    <t>avg NonRBD AAct</t>
  </si>
  <si>
    <t>avg nonRBD rel</t>
  </si>
  <si>
    <t>MP Region Num</t>
  </si>
  <si>
    <t>Total MP Count</t>
  </si>
  <si>
    <t>Total Region Count</t>
  </si>
  <si>
    <t>Total ≥3-Region MP Count</t>
  </si>
  <si>
    <t>Total ≥4-Region MP Count</t>
  </si>
  <si>
    <t>Total Different MP Mutations</t>
  </si>
  <si>
    <t>Column Name Key</t>
  </si>
  <si>
    <t>Column Name</t>
  </si>
  <si>
    <t>Description</t>
  </si>
  <si>
    <t>SeedMut</t>
  </si>
  <si>
    <t>"Seed mutation" used  in mutation-pattern detecting (MDP) function to produce the MP. In many cases, multiple seed mutations produce the same mutation pattern, so the particular seed mutation listed not unique in producing the MP.</t>
  </si>
  <si>
    <t xml:space="preserve">The total number of different mutations in the MP. </t>
  </si>
  <si>
    <t xml:space="preserve">The total number of different regions in the MP. </t>
  </si>
  <si>
    <t>The total number of different mutations in the given region of the MP.</t>
  </si>
  <si>
    <t>The number of the region in the MP. Regions are numbered based on their order in the genome, from 5'  to 3' end.</t>
  </si>
  <si>
    <t>The mutation being tested in the current row.</t>
  </si>
  <si>
    <t>The number of EPCI sequences that possess both the MP and mutation (as a private mutation).</t>
  </si>
  <si>
    <t>The total number of EPCI sequences that have the mutation (as a private mutation ).</t>
  </si>
  <si>
    <t xml:space="preserve">The total number of EPCI sequences against which the mutation was tested. These sequences were required to have a minimum number of MP mutations (that depends mainly on the number of regions in the MP). Sequences lacking coverage at the site of the mutation and sequences that inherited the mutation were excluded from this sequence count. </t>
  </si>
  <si>
    <t>The percentage of all EPCI sequences that possess the mutation (as a private mutation), after excluding sequences that lack coverage at the site of the mutation and sequences that inherited the mutation.</t>
  </si>
  <si>
    <t>The percentage of MP sequences that have the given mutation (after excluding sequences lacking coverage at the site of the mutation and sequences that inherited the mutation).</t>
  </si>
  <si>
    <t>The percentage of non-MP EPCI sequences that have the mutation (after excluding sequences lacking coverage at the site of the mutation and sequences that inherited the mutation).</t>
  </si>
  <si>
    <t>p-value for Fisher's exact test for enrichment of the mutation among MP sequences</t>
  </si>
  <si>
    <t>Negative log10 of the p-value for Fisher's exact test for enrichment of the mutation among MP sequences</t>
  </si>
  <si>
    <t>Fold increase of the mutation in MP sequences compared to non-MP sequences (MP pct/non-MP pct)</t>
  </si>
  <si>
    <t>Chi-squared value for enrichment of the mutation in MP sequences</t>
  </si>
  <si>
    <t>Ratio of the rate at which the mutation appears (as a private mutation) in EPCI sequences to the rate at which it appears (as a private mutation) in HQCS sequences. HQCS = high-quality circulating sequences</t>
  </si>
  <si>
    <t>Average number of non-RBD mutations in MP sequences</t>
  </si>
  <si>
    <t>Average number of non-RBD mutations in MP sequences relative to the average number of non-RBD sequences in all EPCI sequences.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</si>
</sst>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0"/>
      <color theme="1"/>
      <name val="Calibri"/>
      <family val="2"/>
      <scheme val="minor"/>
    </font>
    <font>
      <b/>
      <sz val="36"/>
      <color theme="1"/>
      <name val="Calibri (Body)"/>
    </font>
    <font>
      <sz val="36"/>
      <color theme="1"/>
      <name val="Calibri"/>
      <family val="2"/>
      <scheme val="minor"/>
    </font>
    <font>
      <b/>
      <sz val="18"/>
      <color theme="1"/>
      <name val="Calibri"/>
      <family val="2"/>
      <scheme val="minor"/>
    </font>
    <font>
      <b/>
      <sz val="24"/>
      <color theme="1"/>
      <name val="Calibri (Body)"/>
    </font>
    <font>
      <b/>
      <sz val="11"/>
      <color theme="1"/>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4F2F5"/>
        <bgColor indexed="64"/>
      </patternFill>
    </fill>
    <fill>
      <patternFill patternType="solid">
        <fgColor rgb="FFFCFFD5"/>
        <bgColor indexed="64"/>
      </patternFill>
    </fill>
    <fill>
      <patternFill patternType="solid">
        <fgColor rgb="FFF9FCAD"/>
        <bgColor indexed="64"/>
      </patternFill>
    </fill>
    <fill>
      <patternFill patternType="solid">
        <fgColor rgb="FFE4F1F5"/>
        <bgColor indexed="64"/>
      </patternFill>
    </fill>
    <fill>
      <patternFill patternType="solid">
        <fgColor rgb="FFFBFFD5"/>
        <bgColor indexed="64"/>
      </patternFill>
    </fill>
    <fill>
      <patternFill patternType="solid">
        <fgColor rgb="FFFBFFB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465926084170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n">
        <color auto="1"/>
      </right>
      <top style="thin">
        <color theme="1"/>
      </top>
      <bottom style="thin">
        <color theme="1"/>
      </bottom>
      <diagonal/>
    </border>
    <border>
      <left/>
      <right style="thin">
        <color theme="1"/>
      </right>
      <top/>
      <bottom style="thin">
        <color theme="0" tint="-0.499984740745262"/>
      </bottom>
      <diagonal/>
    </border>
    <border>
      <left style="thin">
        <color theme="1"/>
      </left>
      <right/>
      <top/>
      <bottom style="thin">
        <color theme="0" tint="-0.34998626667073579"/>
      </bottom>
      <diagonal/>
    </border>
    <border>
      <left/>
      <right/>
      <top/>
      <bottom style="thin">
        <color theme="0" tint="-0.34998626667073579"/>
      </bottom>
      <diagonal/>
    </border>
    <border>
      <left/>
      <right style="thin">
        <color auto="1"/>
      </right>
      <top/>
      <bottom style="thin">
        <color theme="0" tint="-0.34998626667073579"/>
      </bottom>
      <diagonal/>
    </border>
    <border>
      <left/>
      <right style="thin">
        <color theme="1"/>
      </right>
      <top style="thin">
        <color theme="0" tint="-0.499984740745262"/>
      </top>
      <bottom style="thin">
        <color theme="0" tint="-0.499984740745262"/>
      </bottom>
      <diagonal/>
    </border>
    <border>
      <left style="thin">
        <color theme="1"/>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auto="1"/>
      </right>
      <top style="thin">
        <color theme="0" tint="-0.34998626667073579"/>
      </top>
      <bottom style="thin">
        <color theme="0" tint="-0.34998626667073579"/>
      </bottom>
      <diagonal/>
    </border>
    <border>
      <left style="thin">
        <color auto="1"/>
      </left>
      <right style="thin">
        <color theme="1"/>
      </right>
      <top style="thin">
        <color theme="0" tint="-0.499984740745262"/>
      </top>
      <bottom style="thin">
        <color theme="0" tint="-0.499984740745262"/>
      </bottom>
      <diagonal/>
    </border>
    <border>
      <left/>
      <right style="thin">
        <color theme="1"/>
      </right>
      <top style="thin">
        <color theme="0" tint="-0.499984740745262"/>
      </top>
      <bottom style="thin">
        <color theme="1"/>
      </bottom>
      <diagonal/>
    </border>
    <border>
      <left style="thin">
        <color theme="1"/>
      </left>
      <right/>
      <top style="thin">
        <color theme="0" tint="-0.34998626667073579"/>
      </top>
      <bottom style="thin">
        <color theme="1"/>
      </bottom>
      <diagonal/>
    </border>
    <border>
      <left/>
      <right/>
      <top style="thin">
        <color theme="0" tint="-0.34998626667073579"/>
      </top>
      <bottom style="thin">
        <color theme="1"/>
      </bottom>
      <diagonal/>
    </border>
    <border>
      <left/>
      <right style="thin">
        <color auto="1"/>
      </right>
      <top style="thin">
        <color theme="0" tint="-0.34998626667073579"/>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11" fontId="0" fillId="0" borderId="0" xfId="0" applyNumberFormat="1"/>
    <xf numFmtId="2" fontId="0" fillId="0" borderId="0" xfId="0" applyNumberFormat="1"/>
    <xf numFmtId="164" fontId="0" fillId="0" borderId="0" xfId="0" applyNumberFormat="1"/>
    <xf numFmtId="1" fontId="0" fillId="0" borderId="0" xfId="0" applyNumberFormat="1"/>
    <xf numFmtId="1" fontId="16" fillId="0" borderId="0" xfId="0" applyNumberFormat="1" applyFont="1" applyAlignment="1">
      <alignment horizontal="center" vertical="center" wrapText="1"/>
    </xf>
    <xf numFmtId="0" fontId="16" fillId="0" borderId="0" xfId="0" applyFont="1" applyAlignment="1">
      <alignment horizontal="center" vertical="center" wrapText="1"/>
    </xf>
    <xf numFmtId="1" fontId="18" fillId="0" borderId="0" xfId="0" applyNumberFormat="1" applyFont="1" applyAlignment="1">
      <alignment horizontal="center" vertical="center" wrapText="1"/>
    </xf>
    <xf numFmtId="2" fontId="16" fillId="0" borderId="0" xfId="0" applyNumberFormat="1" applyFont="1" applyAlignment="1">
      <alignment horizontal="center" vertical="center" wrapText="1"/>
    </xf>
    <xf numFmtId="11" fontId="16" fillId="0" borderId="0" xfId="0" applyNumberFormat="1" applyFont="1" applyAlignment="1">
      <alignment horizontal="center" vertical="center" wrapText="1"/>
    </xf>
    <xf numFmtId="164" fontId="16" fillId="0" borderId="0" xfId="0" applyNumberFormat="1" applyFont="1" applyAlignment="1">
      <alignment horizontal="center" vertical="center" wrapText="1"/>
    </xf>
    <xf numFmtId="1" fontId="0" fillId="0" borderId="0" xfId="0" applyNumberFormat="1" applyAlignment="1">
      <alignment horizontal="center"/>
    </xf>
    <xf numFmtId="1" fontId="16" fillId="0" borderId="0" xfId="0" applyNumberFormat="1" applyFont="1" applyAlignment="1">
      <alignment horizontal="right"/>
    </xf>
    <xf numFmtId="0" fontId="16" fillId="0" borderId="0" xfId="0" applyFont="1" applyAlignment="1">
      <alignment horizontal="right"/>
    </xf>
    <xf numFmtId="0" fontId="0" fillId="0" borderId="0" xfId="0" applyAlignment="1">
      <alignment horizontal="center"/>
    </xf>
    <xf numFmtId="0" fontId="19" fillId="33" borderId="10" xfId="0" applyFont="1" applyFill="1" applyBorder="1" applyAlignment="1">
      <alignment horizontal="center"/>
    </xf>
    <xf numFmtId="0" fontId="20" fillId="33" borderId="11" xfId="0" applyFont="1" applyFill="1" applyBorder="1" applyAlignment="1">
      <alignment horizontal="center"/>
    </xf>
    <xf numFmtId="0" fontId="20" fillId="33" borderId="12" xfId="0" applyFont="1" applyFill="1" applyBorder="1" applyAlignment="1">
      <alignment horizontal="center"/>
    </xf>
    <xf numFmtId="0" fontId="21" fillId="34" borderId="12" xfId="0" applyFont="1" applyFill="1" applyBorder="1" applyAlignment="1">
      <alignment horizontal="center" vertical="center"/>
    </xf>
    <xf numFmtId="0" fontId="22" fillId="35" borderId="13" xfId="0" applyFont="1" applyFill="1" applyBorder="1" applyAlignment="1">
      <alignment horizontal="center" vertical="center"/>
    </xf>
    <xf numFmtId="0" fontId="0" fillId="35" borderId="13" xfId="0" applyFill="1" applyBorder="1" applyAlignment="1">
      <alignment horizontal="center" vertical="center"/>
    </xf>
    <xf numFmtId="0" fontId="0" fillId="35" borderId="14" xfId="0" applyFill="1" applyBorder="1" applyAlignment="1">
      <alignment horizontal="center" vertical="center"/>
    </xf>
    <xf numFmtId="0" fontId="16" fillId="36" borderId="15" xfId="0" applyFont="1" applyFill="1" applyBorder="1" applyAlignment="1">
      <alignment horizontal="center" vertical="center" wrapText="1"/>
    </xf>
    <xf numFmtId="0" fontId="0" fillId="37" borderId="16" xfId="0" applyFill="1" applyBorder="1" applyAlignment="1">
      <alignment horizontal="left" vertical="center" wrapText="1"/>
    </xf>
    <xf numFmtId="0" fontId="0" fillId="37" borderId="17" xfId="0" applyFill="1" applyBorder="1" applyAlignment="1">
      <alignment horizontal="left" vertical="center" wrapText="1"/>
    </xf>
    <xf numFmtId="0" fontId="0" fillId="37" borderId="18" xfId="0" applyFill="1" applyBorder="1" applyAlignment="1">
      <alignment horizontal="left" vertical="center" wrapText="1"/>
    </xf>
    <xf numFmtId="1" fontId="16" fillId="34" borderId="19" xfId="0" applyNumberFormat="1" applyFont="1" applyFill="1" applyBorder="1" applyAlignment="1">
      <alignment horizontal="center" vertical="center" wrapText="1"/>
    </xf>
    <xf numFmtId="0" fontId="0" fillId="38" borderId="20" xfId="0" applyFill="1" applyBorder="1" applyAlignment="1">
      <alignment horizontal="left" vertical="center"/>
    </xf>
    <xf numFmtId="0" fontId="0" fillId="38" borderId="21" xfId="0" applyFill="1" applyBorder="1" applyAlignment="1">
      <alignment horizontal="left" vertical="center"/>
    </xf>
    <xf numFmtId="0" fontId="0" fillId="38" borderId="22" xfId="0" applyFill="1" applyBorder="1" applyAlignment="1">
      <alignment horizontal="left" vertical="center"/>
    </xf>
    <xf numFmtId="1" fontId="16" fillId="39" borderId="19" xfId="0" applyNumberFormat="1" applyFont="1" applyFill="1" applyBorder="1" applyAlignment="1">
      <alignment horizontal="center" vertical="center" wrapText="1"/>
    </xf>
    <xf numFmtId="0" fontId="0" fillId="40" borderId="20" xfId="0" applyFill="1" applyBorder="1" applyAlignment="1">
      <alignment horizontal="left" vertical="center"/>
    </xf>
    <xf numFmtId="0" fontId="0" fillId="40" borderId="21" xfId="0" applyFill="1" applyBorder="1" applyAlignment="1">
      <alignment horizontal="left" vertical="center"/>
    </xf>
    <xf numFmtId="0" fontId="0" fillId="40" borderId="22" xfId="0" applyFill="1" applyBorder="1" applyAlignment="1">
      <alignment horizontal="left" vertical="center"/>
    </xf>
    <xf numFmtId="0" fontId="23" fillId="34" borderId="19" xfId="0" applyFont="1" applyFill="1" applyBorder="1" applyAlignment="1">
      <alignment horizontal="center" vertical="center" wrapText="1"/>
    </xf>
    <xf numFmtId="0" fontId="0" fillId="41" borderId="20" xfId="0" applyFill="1" applyBorder="1" applyAlignment="1">
      <alignment horizontal="left" vertical="center"/>
    </xf>
    <xf numFmtId="0" fontId="0" fillId="41" borderId="21" xfId="0" applyFill="1" applyBorder="1" applyAlignment="1">
      <alignment horizontal="left" vertical="center"/>
    </xf>
    <xf numFmtId="0" fontId="0" fillId="41" borderId="22" xfId="0" applyFill="1" applyBorder="1" applyAlignment="1">
      <alignment horizontal="left" vertical="center"/>
    </xf>
    <xf numFmtId="0" fontId="23" fillId="39" borderId="19" xfId="0" applyFont="1" applyFill="1" applyBorder="1" applyAlignment="1">
      <alignment horizontal="center" vertical="center" wrapText="1"/>
    </xf>
    <xf numFmtId="0" fontId="16" fillId="34" borderId="19" xfId="0" applyFont="1" applyFill="1" applyBorder="1" applyAlignment="1">
      <alignment horizontal="center" vertical="center" wrapText="1"/>
    </xf>
    <xf numFmtId="0" fontId="0" fillId="40" borderId="20" xfId="0" applyFill="1" applyBorder="1" applyAlignment="1">
      <alignment horizontal="left" vertical="center" wrapText="1"/>
    </xf>
    <xf numFmtId="0" fontId="0" fillId="40" borderId="21" xfId="0" applyFill="1" applyBorder="1" applyAlignment="1">
      <alignment horizontal="left" vertical="center" wrapText="1"/>
    </xf>
    <xf numFmtId="0" fontId="0" fillId="40" borderId="22" xfId="0" applyFill="1" applyBorder="1" applyAlignment="1">
      <alignment horizontal="left" vertical="center" wrapText="1"/>
    </xf>
    <xf numFmtId="2" fontId="16" fillId="34" borderId="19" xfId="0" applyNumberFormat="1" applyFont="1" applyFill="1" applyBorder="1" applyAlignment="1">
      <alignment horizontal="center" vertical="center" wrapText="1"/>
    </xf>
    <xf numFmtId="0" fontId="0" fillId="41" borderId="20" xfId="0" applyFill="1" applyBorder="1" applyAlignment="1">
      <alignment horizontal="left" vertical="center" wrapText="1"/>
    </xf>
    <xf numFmtId="0" fontId="0" fillId="41" borderId="21" xfId="0" applyFill="1" applyBorder="1" applyAlignment="1">
      <alignment horizontal="left" vertical="center" wrapText="1"/>
    </xf>
    <xf numFmtId="0" fontId="0" fillId="41" borderId="22" xfId="0" applyFill="1" applyBorder="1" applyAlignment="1">
      <alignment horizontal="left" vertical="center" wrapText="1"/>
    </xf>
    <xf numFmtId="2" fontId="16" fillId="39" borderId="19" xfId="0" applyNumberFormat="1" applyFont="1" applyFill="1" applyBorder="1" applyAlignment="1">
      <alignment horizontal="center" vertical="center" wrapText="1"/>
    </xf>
    <xf numFmtId="11" fontId="16" fillId="39" borderId="23" xfId="0" applyNumberFormat="1" applyFont="1" applyFill="1" applyBorder="1" applyAlignment="1">
      <alignment horizontal="center" vertical="center" wrapText="1"/>
    </xf>
    <xf numFmtId="164" fontId="16" fillId="34" borderId="19" xfId="0" applyNumberFormat="1" applyFont="1" applyFill="1" applyBorder="1" applyAlignment="1">
      <alignment horizontal="center" vertical="center" wrapText="1"/>
    </xf>
    <xf numFmtId="164" fontId="16" fillId="39" borderId="19" xfId="0" applyNumberFormat="1" applyFont="1" applyFill="1" applyBorder="1" applyAlignment="1">
      <alignment horizontal="center" vertical="center" wrapText="1"/>
    </xf>
    <xf numFmtId="2" fontId="16" fillId="39" borderId="24" xfId="0" applyNumberFormat="1" applyFont="1" applyFill="1" applyBorder="1" applyAlignment="1">
      <alignment horizontal="center" vertical="center" wrapText="1"/>
    </xf>
    <xf numFmtId="0" fontId="0" fillId="40" borderId="25" xfId="0" applyFill="1" applyBorder="1" applyAlignment="1">
      <alignment horizontal="left" vertical="center" wrapText="1"/>
    </xf>
    <xf numFmtId="0" fontId="0" fillId="40" borderId="26" xfId="0" applyFill="1" applyBorder="1" applyAlignment="1">
      <alignment horizontal="left" vertical="center" wrapText="1"/>
    </xf>
    <xf numFmtId="0" fontId="0" fillId="40" borderId="27" xfId="0" applyFill="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8A39D-3BDF-F943-9160-F715857E68B1}">
  <dimension ref="A1:Z479"/>
  <sheetViews>
    <sheetView workbookViewId="0">
      <selection activeCell="Z1" sqref="V1:Z1"/>
    </sheetView>
  </sheetViews>
  <sheetFormatPr baseColWidth="10" defaultRowHeight="16" x14ac:dyDescent="0.2"/>
  <cols>
    <col min="1" max="1" width="4.33203125" style="11" customWidth="1"/>
    <col min="2" max="2" width="8.5" style="4" customWidth="1"/>
    <col min="3" max="3" width="5.1640625" style="4" customWidth="1"/>
    <col min="4" max="4" width="4.6640625" style="4" customWidth="1"/>
    <col min="5" max="5" width="5.33203125" style="4" customWidth="1"/>
    <col min="6" max="6" width="5.6640625" style="4" customWidth="1"/>
    <col min="7" max="7" width="12.6640625" customWidth="1"/>
    <col min="8" max="8" width="5" style="4" customWidth="1"/>
    <col min="9" max="9" width="5.1640625" style="4" customWidth="1"/>
    <col min="10" max="10" width="5.83203125" style="4" customWidth="1"/>
    <col min="11" max="13" width="6.83203125" style="2" customWidth="1"/>
    <col min="14" max="14" width="10.1640625" style="1" customWidth="1"/>
    <col min="15" max="15" width="7.6640625" style="2" customWidth="1"/>
    <col min="16" max="16" width="7.83203125" style="2" customWidth="1"/>
    <col min="17" max="17" width="7.33203125" style="3" customWidth="1"/>
    <col min="18" max="18" width="9.1640625" style="2" customWidth="1"/>
    <col min="19" max="19" width="8.33203125" style="2" customWidth="1"/>
    <col min="20" max="20" width="8.1640625" style="2" customWidth="1"/>
    <col min="22" max="22" width="9.1640625" style="4" customWidth="1"/>
    <col min="23" max="23" width="10" customWidth="1"/>
    <col min="26" max="26" width="8.5" style="4" customWidth="1"/>
  </cols>
  <sheetData>
    <row r="1" spans="1:26" s="6" customFormat="1" ht="72" customHeight="1" x14ac:dyDescent="0.2">
      <c r="A1" s="5" t="s">
        <v>0</v>
      </c>
      <c r="B1" s="5" t="s">
        <v>403</v>
      </c>
      <c r="C1" s="5" t="s">
        <v>404</v>
      </c>
      <c r="D1" s="5" t="s">
        <v>405</v>
      </c>
      <c r="E1" s="5" t="s">
        <v>406</v>
      </c>
      <c r="F1" s="7" t="s">
        <v>418</v>
      </c>
      <c r="G1" s="6" t="s">
        <v>1</v>
      </c>
      <c r="H1" s="5" t="s">
        <v>407</v>
      </c>
      <c r="I1" s="5" t="s">
        <v>408</v>
      </c>
      <c r="J1" s="5" t="s">
        <v>409</v>
      </c>
      <c r="K1" s="8" t="s">
        <v>410</v>
      </c>
      <c r="L1" s="8" t="s">
        <v>411</v>
      </c>
      <c r="M1" s="8" t="s">
        <v>412</v>
      </c>
      <c r="N1" s="9" t="s">
        <v>413</v>
      </c>
      <c r="O1" s="8" t="s">
        <v>2</v>
      </c>
      <c r="P1" s="8" t="s">
        <v>414</v>
      </c>
      <c r="Q1" s="10" t="s">
        <v>3</v>
      </c>
      <c r="R1" s="8" t="s">
        <v>415</v>
      </c>
      <c r="S1" s="8" t="s">
        <v>416</v>
      </c>
      <c r="T1" s="8" t="s">
        <v>417</v>
      </c>
      <c r="V1" s="5" t="s">
        <v>419</v>
      </c>
      <c r="W1" s="6" t="s">
        <v>421</v>
      </c>
      <c r="X1" s="6" t="s">
        <v>422</v>
      </c>
      <c r="Y1" s="6" t="s">
        <v>423</v>
      </c>
      <c r="Z1" s="5" t="s">
        <v>420</v>
      </c>
    </row>
    <row r="2" spans="1:26" x14ac:dyDescent="0.2">
      <c r="A2" s="11">
        <v>1</v>
      </c>
      <c r="B2" s="4">
        <v>162</v>
      </c>
      <c r="C2" s="4">
        <v>4</v>
      </c>
      <c r="D2" s="4">
        <v>3</v>
      </c>
      <c r="E2" s="4">
        <v>1</v>
      </c>
      <c r="F2" s="4">
        <v>1</v>
      </c>
      <c r="G2" t="s">
        <v>4</v>
      </c>
      <c r="H2" s="4">
        <v>3</v>
      </c>
      <c r="I2" s="4">
        <v>4</v>
      </c>
      <c r="J2" s="4">
        <v>32</v>
      </c>
      <c r="K2" s="2">
        <v>75</v>
      </c>
      <c r="L2" s="2">
        <v>9.375</v>
      </c>
      <c r="M2" s="2">
        <v>3.06278713629402E-2</v>
      </c>
      <c r="N2" s="1">
        <v>6.6051734463632597E-6</v>
      </c>
      <c r="O2" s="2">
        <v>5.1801157736876897</v>
      </c>
      <c r="P2" s="2">
        <v>306.09375</v>
      </c>
      <c r="Q2" s="3">
        <v>157.745722060329</v>
      </c>
      <c r="R2" s="2">
        <v>1.99</v>
      </c>
      <c r="S2" s="2">
        <v>37.799999999999997</v>
      </c>
      <c r="T2" s="2">
        <v>2.46</v>
      </c>
      <c r="V2" s="4">
        <v>1</v>
      </c>
      <c r="W2">
        <v>1</v>
      </c>
      <c r="X2">
        <v>1</v>
      </c>
      <c r="Y2">
        <v>1</v>
      </c>
      <c r="Z2" s="4">
        <v>1</v>
      </c>
    </row>
    <row r="3" spans="1:26" x14ac:dyDescent="0.2">
      <c r="A3" s="11">
        <v>1</v>
      </c>
      <c r="B3" s="4">
        <v>162</v>
      </c>
      <c r="C3" s="4">
        <v>4</v>
      </c>
      <c r="D3" s="4">
        <v>3</v>
      </c>
      <c r="E3" s="4">
        <v>1</v>
      </c>
      <c r="F3" s="4">
        <v>2</v>
      </c>
      <c r="G3" t="s">
        <v>5</v>
      </c>
      <c r="H3" s="4">
        <v>4</v>
      </c>
      <c r="I3" s="4">
        <v>6</v>
      </c>
      <c r="J3" s="4">
        <v>31</v>
      </c>
      <c r="K3" s="2">
        <v>66.6666666666666</v>
      </c>
      <c r="L3" s="2">
        <v>12.9032258064516</v>
      </c>
      <c r="M3" s="2">
        <v>6.12369871402327E-2</v>
      </c>
      <c r="N3" s="1">
        <v>1.89565355671918E-7</v>
      </c>
      <c r="O3" s="2">
        <v>6.7222410299478197</v>
      </c>
      <c r="P3" s="2">
        <v>210.70967741935399</v>
      </c>
      <c r="Q3" s="3">
        <v>212.57954287143701</v>
      </c>
      <c r="R3" s="2">
        <v>4.76</v>
      </c>
      <c r="S3" s="2">
        <v>37.799999999999997</v>
      </c>
      <c r="T3" s="2">
        <v>2.46</v>
      </c>
      <c r="V3" s="4">
        <f>IF(F3=1,V2+1,V2)</f>
        <v>1</v>
      </c>
      <c r="W3">
        <f t="shared" ref="W3:W66" si="0">IF(AND(B3&lt;&gt;B2,D3&gt;2),W2+1,W2)</f>
        <v>1</v>
      </c>
      <c r="X3">
        <f t="shared" ref="X3:X66" si="1">IF(AND(B3&lt;&gt;B2,D3&gt;3),X2+1,X2)</f>
        <v>1</v>
      </c>
      <c r="Y3">
        <v>2</v>
      </c>
      <c r="Z3" s="4">
        <f t="shared" ref="Z3:Z66" si="2">IF(F3&lt;&gt;F2,Z2+1,Z2)</f>
        <v>2</v>
      </c>
    </row>
    <row r="4" spans="1:26" x14ac:dyDescent="0.2">
      <c r="A4" s="11">
        <v>1</v>
      </c>
      <c r="B4" s="4">
        <v>162</v>
      </c>
      <c r="C4" s="4">
        <v>4</v>
      </c>
      <c r="D4" s="4">
        <v>3</v>
      </c>
      <c r="E4" s="4">
        <v>2</v>
      </c>
      <c r="F4" s="4">
        <v>3</v>
      </c>
      <c r="G4" t="s">
        <v>6</v>
      </c>
      <c r="H4" s="4">
        <v>3</v>
      </c>
      <c r="I4" s="4">
        <v>15</v>
      </c>
      <c r="J4" s="4">
        <v>8</v>
      </c>
      <c r="K4" s="2">
        <v>20</v>
      </c>
      <c r="L4" s="2">
        <v>37.5</v>
      </c>
      <c r="M4" s="2">
        <v>0.36485253876558199</v>
      </c>
      <c r="N4" s="1">
        <v>8.4232033169250708E-6</v>
      </c>
      <c r="O4" s="2">
        <v>5.0745227163032398</v>
      </c>
      <c r="P4" s="2">
        <v>102.78125</v>
      </c>
      <c r="Q4" s="3">
        <v>167.92474246775899</v>
      </c>
      <c r="R4" s="2">
        <v>0.23</v>
      </c>
      <c r="S4" s="2">
        <v>37.799999999999997</v>
      </c>
      <c r="T4" s="2">
        <v>2.46</v>
      </c>
      <c r="V4" s="4">
        <f t="shared" ref="V4:V67" si="3">IF(F4=1,V3+1,V3)</f>
        <v>1</v>
      </c>
      <c r="W4">
        <f t="shared" si="0"/>
        <v>1</v>
      </c>
      <c r="X4">
        <f t="shared" si="1"/>
        <v>1</v>
      </c>
      <c r="Y4">
        <v>3</v>
      </c>
      <c r="Z4" s="4">
        <f t="shared" si="2"/>
        <v>3</v>
      </c>
    </row>
    <row r="5" spans="1:26" x14ac:dyDescent="0.2">
      <c r="A5" s="11">
        <v>1</v>
      </c>
      <c r="B5" s="4">
        <v>162</v>
      </c>
      <c r="C5" s="4">
        <v>4</v>
      </c>
      <c r="D5" s="4">
        <v>3</v>
      </c>
      <c r="E5" s="4">
        <v>2</v>
      </c>
      <c r="F5" s="4">
        <v>3</v>
      </c>
      <c r="G5" t="s">
        <v>7</v>
      </c>
      <c r="H5" s="4">
        <v>2</v>
      </c>
      <c r="I5" s="4">
        <v>16</v>
      </c>
      <c r="J5" s="4">
        <v>8</v>
      </c>
      <c r="K5" s="2">
        <v>12.5</v>
      </c>
      <c r="L5" s="2">
        <v>25</v>
      </c>
      <c r="M5" s="2">
        <v>0.42566129522651203</v>
      </c>
      <c r="N5" s="1">
        <v>1.2159171699251501E-3</v>
      </c>
      <c r="O5" s="2">
        <v>2.9150960088376801</v>
      </c>
      <c r="P5" s="2">
        <v>58.732142857142797</v>
      </c>
      <c r="Q5" s="3">
        <v>55.396499208761298</v>
      </c>
      <c r="R5" s="2">
        <v>0.31</v>
      </c>
      <c r="S5" s="2">
        <v>37.799999999999997</v>
      </c>
      <c r="T5" s="2">
        <v>2.46</v>
      </c>
      <c r="V5" s="4">
        <f t="shared" si="3"/>
        <v>1</v>
      </c>
      <c r="W5">
        <f t="shared" si="0"/>
        <v>1</v>
      </c>
      <c r="X5">
        <f t="shared" si="1"/>
        <v>1</v>
      </c>
      <c r="Y5">
        <v>4</v>
      </c>
      <c r="Z5" s="4">
        <f t="shared" si="2"/>
        <v>3</v>
      </c>
    </row>
    <row r="6" spans="1:26" x14ac:dyDescent="0.2">
      <c r="A6" s="11">
        <v>1</v>
      </c>
      <c r="B6" s="4">
        <v>518</v>
      </c>
      <c r="C6" s="4">
        <v>2</v>
      </c>
      <c r="D6" s="4">
        <v>2</v>
      </c>
      <c r="E6" s="4">
        <v>1</v>
      </c>
      <c r="F6" s="4">
        <v>1</v>
      </c>
      <c r="G6" t="s">
        <v>8</v>
      </c>
      <c r="H6" s="4">
        <v>23</v>
      </c>
      <c r="I6" s="4">
        <v>223</v>
      </c>
      <c r="J6" s="4">
        <v>118</v>
      </c>
      <c r="K6" s="2">
        <v>10.3139013452914</v>
      </c>
      <c r="L6" s="2">
        <v>19.491525423728799</v>
      </c>
      <c r="M6" s="2">
        <v>6.2912865681031702</v>
      </c>
      <c r="N6" s="1">
        <v>4.5068549371788903E-6</v>
      </c>
      <c r="O6" s="2">
        <v>5.3461264204061898</v>
      </c>
      <c r="P6" s="2">
        <v>3.0981779661016899</v>
      </c>
      <c r="Q6" s="3">
        <v>31.437379348039901</v>
      </c>
      <c r="R6" s="2">
        <v>36.049999999999997</v>
      </c>
      <c r="S6" s="2">
        <v>21.54</v>
      </c>
      <c r="T6" s="2">
        <v>1.4</v>
      </c>
      <c r="V6" s="4">
        <f t="shared" si="3"/>
        <v>2</v>
      </c>
      <c r="W6">
        <f t="shared" si="0"/>
        <v>1</v>
      </c>
      <c r="X6">
        <f t="shared" si="1"/>
        <v>1</v>
      </c>
      <c r="Y6">
        <v>5</v>
      </c>
      <c r="Z6" s="4">
        <f t="shared" si="2"/>
        <v>4</v>
      </c>
    </row>
    <row r="7" spans="1:26" x14ac:dyDescent="0.2">
      <c r="A7" s="11">
        <v>1</v>
      </c>
      <c r="B7" s="4">
        <v>518</v>
      </c>
      <c r="C7" s="4">
        <v>2</v>
      </c>
      <c r="D7" s="4">
        <v>2</v>
      </c>
      <c r="E7" s="4">
        <v>1</v>
      </c>
      <c r="F7" s="4">
        <v>2</v>
      </c>
      <c r="G7" t="s">
        <v>9</v>
      </c>
      <c r="H7" s="4">
        <v>23</v>
      </c>
      <c r="I7" s="4">
        <v>120</v>
      </c>
      <c r="J7" s="4">
        <v>218</v>
      </c>
      <c r="K7" s="2">
        <v>19.1666666666666</v>
      </c>
      <c r="L7" s="2">
        <v>10.550458715596299</v>
      </c>
      <c r="M7" s="2">
        <v>3.15037349788892</v>
      </c>
      <c r="N7" s="1">
        <v>4.1039832771775604E-6</v>
      </c>
      <c r="O7" s="2">
        <v>5.38679441754641</v>
      </c>
      <c r="P7" s="2">
        <v>3.3489548850846398</v>
      </c>
      <c r="Q7" s="3">
        <v>31.787773567891801</v>
      </c>
      <c r="R7" s="2">
        <v>3.25</v>
      </c>
      <c r="S7" s="2">
        <v>21.54</v>
      </c>
      <c r="T7" s="2">
        <v>1.4</v>
      </c>
      <c r="V7" s="4">
        <f t="shared" si="3"/>
        <v>2</v>
      </c>
      <c r="W7">
        <f t="shared" si="0"/>
        <v>1</v>
      </c>
      <c r="X7">
        <f t="shared" si="1"/>
        <v>1</v>
      </c>
      <c r="Y7">
        <v>6</v>
      </c>
      <c r="Z7" s="4">
        <f t="shared" si="2"/>
        <v>5</v>
      </c>
    </row>
    <row r="8" spans="1:26" x14ac:dyDescent="0.2">
      <c r="A8" s="11">
        <v>2</v>
      </c>
      <c r="B8" s="4">
        <v>892</v>
      </c>
      <c r="C8" s="4">
        <v>3</v>
      </c>
      <c r="D8" s="4">
        <v>3</v>
      </c>
      <c r="E8" s="4">
        <v>1</v>
      </c>
      <c r="F8" s="4">
        <v>1</v>
      </c>
      <c r="G8" t="s">
        <v>10</v>
      </c>
      <c r="H8" s="4">
        <v>5</v>
      </c>
      <c r="I8" s="4">
        <v>23</v>
      </c>
      <c r="J8" s="4">
        <v>28</v>
      </c>
      <c r="K8" s="2">
        <v>21.739130434782599</v>
      </c>
      <c r="L8" s="2">
        <v>17.857142857142801</v>
      </c>
      <c r="M8" s="2">
        <v>0.55062710308962903</v>
      </c>
      <c r="N8" s="1">
        <v>1.83945546141353E-6</v>
      </c>
      <c r="O8" s="2">
        <v>5.7353107232427503</v>
      </c>
      <c r="P8" s="2">
        <v>32.4305555555555</v>
      </c>
      <c r="Q8" s="3">
        <v>96.351235941547998</v>
      </c>
      <c r="R8" s="2">
        <v>5.39</v>
      </c>
      <c r="S8" s="2">
        <v>24.14</v>
      </c>
      <c r="T8" s="2">
        <v>1.57</v>
      </c>
      <c r="V8" s="4">
        <f t="shared" si="3"/>
        <v>3</v>
      </c>
      <c r="W8">
        <f t="shared" si="0"/>
        <v>2</v>
      </c>
      <c r="X8">
        <f t="shared" si="1"/>
        <v>1</v>
      </c>
      <c r="Y8">
        <v>7</v>
      </c>
      <c r="Z8" s="4">
        <f t="shared" si="2"/>
        <v>6</v>
      </c>
    </row>
    <row r="9" spans="1:26" x14ac:dyDescent="0.2">
      <c r="A9" s="11">
        <v>2</v>
      </c>
      <c r="B9" s="4">
        <v>892</v>
      </c>
      <c r="C9" s="4">
        <v>3</v>
      </c>
      <c r="D9" s="4">
        <v>3</v>
      </c>
      <c r="E9" s="4">
        <v>1</v>
      </c>
      <c r="F9" s="4">
        <v>2</v>
      </c>
      <c r="G9" t="s">
        <v>11</v>
      </c>
      <c r="H9" s="4">
        <v>6</v>
      </c>
      <c r="I9" s="4">
        <v>28</v>
      </c>
      <c r="J9" s="4">
        <v>25</v>
      </c>
      <c r="K9" s="2">
        <v>21.428571428571399</v>
      </c>
      <c r="L9" s="2">
        <v>24</v>
      </c>
      <c r="M9" s="2">
        <v>0.672371638141809</v>
      </c>
      <c r="N9" s="1">
        <v>6.7360797290263204E-8</v>
      </c>
      <c r="O9" s="2">
        <v>7.1715927811177798</v>
      </c>
      <c r="P9" s="2">
        <v>35.694545454545398</v>
      </c>
      <c r="Q9" s="3">
        <v>133.83258413644</v>
      </c>
      <c r="R9" s="2">
        <v>0.56000000000000005</v>
      </c>
      <c r="S9" s="2">
        <v>24.14</v>
      </c>
      <c r="T9" s="2">
        <v>1.57</v>
      </c>
      <c r="V9" s="4">
        <f t="shared" si="3"/>
        <v>3</v>
      </c>
      <c r="W9">
        <f t="shared" si="0"/>
        <v>2</v>
      </c>
      <c r="X9">
        <f t="shared" si="1"/>
        <v>1</v>
      </c>
      <c r="Y9">
        <v>8</v>
      </c>
      <c r="Z9" s="4">
        <f t="shared" si="2"/>
        <v>7</v>
      </c>
    </row>
    <row r="10" spans="1:26" x14ac:dyDescent="0.2">
      <c r="A10" s="11">
        <v>2</v>
      </c>
      <c r="B10" s="4">
        <v>892</v>
      </c>
      <c r="C10" s="4">
        <v>3</v>
      </c>
      <c r="D10" s="4">
        <v>3</v>
      </c>
      <c r="E10" s="4">
        <v>1</v>
      </c>
      <c r="F10" s="4">
        <v>3</v>
      </c>
      <c r="G10" t="s">
        <v>12</v>
      </c>
      <c r="H10" s="4">
        <v>4</v>
      </c>
      <c r="I10" s="4">
        <v>5</v>
      </c>
      <c r="J10" s="4">
        <v>44</v>
      </c>
      <c r="K10" s="2">
        <v>80</v>
      </c>
      <c r="L10" s="2">
        <v>9.0909090909090899</v>
      </c>
      <c r="M10" s="2">
        <v>3.0740854595757702E-2</v>
      </c>
      <c r="N10" s="1">
        <v>2.7354462361025901E-7</v>
      </c>
      <c r="O10" s="2">
        <v>6.5629718166545299</v>
      </c>
      <c r="P10" s="2">
        <v>295.72727272727201</v>
      </c>
      <c r="Q10" s="3">
        <v>179.31097173471699</v>
      </c>
      <c r="R10" s="2">
        <v>2.09</v>
      </c>
      <c r="S10" s="2">
        <v>24.14</v>
      </c>
      <c r="T10" s="2">
        <v>1.57</v>
      </c>
      <c r="V10" s="4">
        <f t="shared" si="3"/>
        <v>3</v>
      </c>
      <c r="W10">
        <f t="shared" si="0"/>
        <v>2</v>
      </c>
      <c r="X10">
        <f t="shared" si="1"/>
        <v>1</v>
      </c>
      <c r="Y10">
        <v>9</v>
      </c>
      <c r="Z10" s="4">
        <f t="shared" si="2"/>
        <v>8</v>
      </c>
    </row>
    <row r="11" spans="1:26" x14ac:dyDescent="0.2">
      <c r="A11" s="11">
        <v>2</v>
      </c>
      <c r="B11" s="4">
        <v>1581</v>
      </c>
      <c r="C11" s="4">
        <v>2</v>
      </c>
      <c r="D11" s="4">
        <v>2</v>
      </c>
      <c r="E11" s="4">
        <v>1</v>
      </c>
      <c r="F11" s="4">
        <v>1</v>
      </c>
      <c r="G11" t="s">
        <v>13</v>
      </c>
      <c r="H11" s="4">
        <v>4</v>
      </c>
      <c r="I11" s="4">
        <v>18</v>
      </c>
      <c r="J11" s="4">
        <v>17</v>
      </c>
      <c r="K11" s="2">
        <v>22.2222222222222</v>
      </c>
      <c r="L11" s="2">
        <v>23.529411764705799</v>
      </c>
      <c r="M11" s="2">
        <v>0.42682926829268297</v>
      </c>
      <c r="N11" s="1">
        <v>2.8353499136055001E-6</v>
      </c>
      <c r="O11" s="2">
        <v>5.5473933367109201</v>
      </c>
      <c r="P11" s="2">
        <v>55.126050420167999</v>
      </c>
      <c r="Q11" s="3">
        <v>126.419025882966</v>
      </c>
      <c r="R11" s="2">
        <v>5.82</v>
      </c>
      <c r="S11" s="2">
        <v>22.63</v>
      </c>
      <c r="T11" s="2">
        <v>1.48</v>
      </c>
      <c r="V11" s="4">
        <f t="shared" si="3"/>
        <v>4</v>
      </c>
      <c r="W11">
        <f t="shared" si="0"/>
        <v>2</v>
      </c>
      <c r="X11">
        <f t="shared" si="1"/>
        <v>1</v>
      </c>
      <c r="Y11">
        <v>10</v>
      </c>
      <c r="Z11" s="4">
        <f t="shared" si="2"/>
        <v>9</v>
      </c>
    </row>
    <row r="12" spans="1:26" x14ac:dyDescent="0.2">
      <c r="A12" s="11">
        <v>2</v>
      </c>
      <c r="B12" s="4">
        <v>1581</v>
      </c>
      <c r="C12" s="4">
        <v>2</v>
      </c>
      <c r="D12" s="4">
        <v>2</v>
      </c>
      <c r="E12" s="4">
        <v>1</v>
      </c>
      <c r="F12" s="4">
        <v>2</v>
      </c>
      <c r="G12" t="s">
        <v>14</v>
      </c>
      <c r="H12" s="4">
        <v>4</v>
      </c>
      <c r="I12" s="4">
        <v>17</v>
      </c>
      <c r="J12" s="4">
        <v>17</v>
      </c>
      <c r="K12" s="2">
        <v>23.529411764705799</v>
      </c>
      <c r="L12" s="2">
        <v>23.529411764705799</v>
      </c>
      <c r="M12" s="2">
        <v>0.396341463414634</v>
      </c>
      <c r="N12" s="1">
        <v>2.2122698898479701E-6</v>
      </c>
      <c r="O12" s="2">
        <v>5.6551618915980404</v>
      </c>
      <c r="P12" s="2">
        <v>59.366515837103996</v>
      </c>
      <c r="Q12" s="3">
        <v>134.21994760744701</v>
      </c>
      <c r="R12" s="2">
        <v>0.21</v>
      </c>
      <c r="S12" s="2">
        <v>22.63</v>
      </c>
      <c r="T12" s="2">
        <v>1.48</v>
      </c>
      <c r="V12" s="4">
        <f t="shared" si="3"/>
        <v>4</v>
      </c>
      <c r="W12">
        <f t="shared" si="0"/>
        <v>2</v>
      </c>
      <c r="X12">
        <f t="shared" si="1"/>
        <v>1</v>
      </c>
      <c r="Y12">
        <v>11</v>
      </c>
      <c r="Z12" s="4">
        <f t="shared" si="2"/>
        <v>10</v>
      </c>
    </row>
    <row r="13" spans="1:26" x14ac:dyDescent="0.2">
      <c r="A13" s="11">
        <v>3</v>
      </c>
      <c r="B13" s="4">
        <v>1975</v>
      </c>
      <c r="C13" s="4">
        <v>2</v>
      </c>
      <c r="D13" s="4">
        <v>2</v>
      </c>
      <c r="E13" s="4">
        <v>1</v>
      </c>
      <c r="F13" s="4">
        <v>1</v>
      </c>
      <c r="G13" t="s">
        <v>15</v>
      </c>
      <c r="H13" s="4">
        <v>5</v>
      </c>
      <c r="I13" s="4">
        <v>16</v>
      </c>
      <c r="J13" s="4">
        <v>32</v>
      </c>
      <c r="K13" s="2">
        <v>31.25</v>
      </c>
      <c r="L13" s="2">
        <v>15.625</v>
      </c>
      <c r="M13" s="2">
        <v>0.33690658499234299</v>
      </c>
      <c r="N13" s="1">
        <v>5.0402388773367305E-7</v>
      </c>
      <c r="O13" s="2">
        <v>6.2975488800920196</v>
      </c>
      <c r="P13" s="2">
        <v>46.377840909090899</v>
      </c>
      <c r="Q13" s="3">
        <v>123.34413784480699</v>
      </c>
      <c r="R13" s="2">
        <v>2.0099999999999998</v>
      </c>
      <c r="S13" s="2">
        <v>23.62</v>
      </c>
      <c r="T13" s="2">
        <v>1.54</v>
      </c>
      <c r="V13" s="4">
        <f t="shared" si="3"/>
        <v>5</v>
      </c>
      <c r="W13">
        <f t="shared" si="0"/>
        <v>2</v>
      </c>
      <c r="X13">
        <f t="shared" si="1"/>
        <v>1</v>
      </c>
      <c r="Y13">
        <v>12</v>
      </c>
      <c r="Z13" s="4">
        <f t="shared" si="2"/>
        <v>11</v>
      </c>
    </row>
    <row r="14" spans="1:26" x14ac:dyDescent="0.2">
      <c r="A14" s="11">
        <v>3</v>
      </c>
      <c r="B14" s="4">
        <v>1975</v>
      </c>
      <c r="C14" s="4">
        <v>2</v>
      </c>
      <c r="D14" s="4">
        <v>2</v>
      </c>
      <c r="E14" s="4">
        <v>1</v>
      </c>
      <c r="F14" s="4">
        <v>2</v>
      </c>
      <c r="G14" t="s">
        <v>16</v>
      </c>
      <c r="H14" s="4">
        <v>5</v>
      </c>
      <c r="I14" s="4">
        <v>33</v>
      </c>
      <c r="J14" s="4">
        <v>15</v>
      </c>
      <c r="K14" s="2">
        <v>15.151515151515101</v>
      </c>
      <c r="L14" s="2">
        <v>33.3333333333333</v>
      </c>
      <c r="M14" s="2">
        <v>0.85313833028640995</v>
      </c>
      <c r="N14" s="1">
        <v>4.1016037987058498E-7</v>
      </c>
      <c r="O14" s="2">
        <v>6.3870462933450503</v>
      </c>
      <c r="P14" s="2">
        <v>39.071428571428498</v>
      </c>
      <c r="Q14" s="3">
        <v>127.883400497762</v>
      </c>
      <c r="R14" s="2">
        <v>1.32</v>
      </c>
      <c r="S14" s="2">
        <v>23.62</v>
      </c>
      <c r="T14" s="2">
        <v>1.54</v>
      </c>
      <c r="V14" s="4">
        <f t="shared" si="3"/>
        <v>5</v>
      </c>
      <c r="W14">
        <f t="shared" si="0"/>
        <v>2</v>
      </c>
      <c r="X14">
        <f t="shared" si="1"/>
        <v>1</v>
      </c>
      <c r="Y14">
        <v>13</v>
      </c>
      <c r="Z14" s="4">
        <f t="shared" si="2"/>
        <v>12</v>
      </c>
    </row>
    <row r="15" spans="1:26" x14ac:dyDescent="0.2">
      <c r="A15" s="11">
        <v>4</v>
      </c>
      <c r="B15" s="4">
        <v>1122</v>
      </c>
      <c r="C15" s="4">
        <v>2</v>
      </c>
      <c r="D15" s="4">
        <v>2</v>
      </c>
      <c r="E15" s="4">
        <v>1</v>
      </c>
      <c r="F15" s="4">
        <v>1</v>
      </c>
      <c r="G15" t="s">
        <v>17</v>
      </c>
      <c r="H15" s="4">
        <v>15</v>
      </c>
      <c r="I15" s="4">
        <v>98</v>
      </c>
      <c r="J15" s="4">
        <v>127</v>
      </c>
      <c r="K15" s="2">
        <v>15.306122448979499</v>
      </c>
      <c r="L15" s="2">
        <v>11.8110236220472</v>
      </c>
      <c r="M15" s="2">
        <v>2.61829652996845</v>
      </c>
      <c r="N15" s="1">
        <v>6.4474173246411599E-6</v>
      </c>
      <c r="O15" s="2">
        <v>5.19061421812098</v>
      </c>
      <c r="P15" s="2">
        <v>4.5109572146855097</v>
      </c>
      <c r="Q15" s="3">
        <v>32.662727139773203</v>
      </c>
      <c r="R15" s="2">
        <v>8.2899999999999991</v>
      </c>
      <c r="S15" s="2">
        <v>22.94</v>
      </c>
      <c r="T15" s="2">
        <v>1.5</v>
      </c>
      <c r="V15" s="4">
        <f t="shared" si="3"/>
        <v>6</v>
      </c>
      <c r="W15">
        <f t="shared" si="0"/>
        <v>2</v>
      </c>
      <c r="X15">
        <f t="shared" si="1"/>
        <v>1</v>
      </c>
      <c r="Y15">
        <v>14</v>
      </c>
      <c r="Z15" s="4">
        <f t="shared" si="2"/>
        <v>13</v>
      </c>
    </row>
    <row r="16" spans="1:26" x14ac:dyDescent="0.2">
      <c r="A16" s="11">
        <v>4</v>
      </c>
      <c r="B16" s="4">
        <v>1122</v>
      </c>
      <c r="C16" s="4">
        <v>2</v>
      </c>
      <c r="D16" s="4">
        <v>2</v>
      </c>
      <c r="E16" s="4">
        <v>1</v>
      </c>
      <c r="F16" s="4">
        <v>2</v>
      </c>
      <c r="G16" t="s">
        <v>18</v>
      </c>
      <c r="H16" s="4">
        <v>15</v>
      </c>
      <c r="I16" s="4">
        <v>129</v>
      </c>
      <c r="J16" s="4">
        <v>97</v>
      </c>
      <c r="K16" s="2">
        <v>11.6279069767441</v>
      </c>
      <c r="L16" s="2">
        <v>15.4639175257731</v>
      </c>
      <c r="M16" s="2">
        <v>3.5624999999999898</v>
      </c>
      <c r="N16" s="1">
        <v>6.8917790227710898E-6</v>
      </c>
      <c r="O16" s="2">
        <v>5.1616686561702796</v>
      </c>
      <c r="P16" s="2">
        <v>4.3407487791644002</v>
      </c>
      <c r="Q16" s="3">
        <v>32.375151464937403</v>
      </c>
      <c r="R16" s="2">
        <v>3.05</v>
      </c>
      <c r="S16" s="2">
        <v>22.94</v>
      </c>
      <c r="T16" s="2">
        <v>1.5</v>
      </c>
      <c r="V16" s="4">
        <f t="shared" si="3"/>
        <v>6</v>
      </c>
      <c r="W16">
        <f t="shared" si="0"/>
        <v>2</v>
      </c>
      <c r="X16">
        <f t="shared" si="1"/>
        <v>1</v>
      </c>
      <c r="Y16">
        <v>15</v>
      </c>
      <c r="Z16" s="4">
        <f t="shared" si="2"/>
        <v>14</v>
      </c>
    </row>
    <row r="17" spans="1:26" x14ac:dyDescent="0.2">
      <c r="A17" s="11">
        <v>4</v>
      </c>
      <c r="B17" s="4">
        <v>2025</v>
      </c>
      <c r="C17" s="4">
        <v>2</v>
      </c>
      <c r="D17" s="4">
        <v>2</v>
      </c>
      <c r="E17" s="4">
        <v>1</v>
      </c>
      <c r="F17" s="4">
        <v>1</v>
      </c>
      <c r="G17" t="s">
        <v>19</v>
      </c>
      <c r="H17" s="4">
        <v>4</v>
      </c>
      <c r="I17" s="4">
        <v>7</v>
      </c>
      <c r="J17" s="4">
        <v>40</v>
      </c>
      <c r="K17" s="2">
        <v>57.142857142857103</v>
      </c>
      <c r="L17" s="2">
        <v>10</v>
      </c>
      <c r="M17" s="2">
        <v>9.2109303039607002E-2</v>
      </c>
      <c r="N17" s="1">
        <v>1.2678830934422001E-6</v>
      </c>
      <c r="O17" s="2">
        <v>5.8969207892095001</v>
      </c>
      <c r="P17" s="2">
        <v>108.56666666666599</v>
      </c>
      <c r="Q17" s="3">
        <v>139.31101928171</v>
      </c>
      <c r="R17" s="2">
        <v>1.97</v>
      </c>
      <c r="S17" s="2">
        <v>21.86</v>
      </c>
      <c r="T17" s="2">
        <v>1.43</v>
      </c>
      <c r="V17" s="4">
        <f t="shared" si="3"/>
        <v>7</v>
      </c>
      <c r="W17">
        <f t="shared" si="0"/>
        <v>2</v>
      </c>
      <c r="X17">
        <f t="shared" si="1"/>
        <v>1</v>
      </c>
      <c r="Y17">
        <v>16</v>
      </c>
      <c r="Z17" s="4">
        <f t="shared" si="2"/>
        <v>15</v>
      </c>
    </row>
    <row r="18" spans="1:26" x14ac:dyDescent="0.2">
      <c r="A18" s="11">
        <v>4</v>
      </c>
      <c r="B18" s="4">
        <v>2025</v>
      </c>
      <c r="C18" s="4">
        <v>2</v>
      </c>
      <c r="D18" s="4">
        <v>2</v>
      </c>
      <c r="E18" s="4">
        <v>1</v>
      </c>
      <c r="F18" s="4">
        <v>2</v>
      </c>
      <c r="G18" t="s">
        <v>20</v>
      </c>
      <c r="H18" s="4">
        <v>4</v>
      </c>
      <c r="I18" s="4">
        <v>40</v>
      </c>
      <c r="J18" s="4">
        <v>7</v>
      </c>
      <c r="K18" s="2">
        <v>10</v>
      </c>
      <c r="L18" s="2">
        <v>57.142857142857103</v>
      </c>
      <c r="M18" s="2">
        <v>1.09422492401215</v>
      </c>
      <c r="N18" s="1">
        <v>1.2678830934422001E-6</v>
      </c>
      <c r="O18" s="2">
        <v>5.8969207892095001</v>
      </c>
      <c r="P18" s="2">
        <v>52.2222222222222</v>
      </c>
      <c r="Q18" s="3">
        <v>139.31101928171</v>
      </c>
      <c r="R18" s="2">
        <v>38.94</v>
      </c>
      <c r="S18" s="2">
        <v>21.86</v>
      </c>
      <c r="T18" s="2">
        <v>1.43</v>
      </c>
      <c r="V18" s="4">
        <f t="shared" si="3"/>
        <v>7</v>
      </c>
      <c r="W18">
        <f t="shared" si="0"/>
        <v>2</v>
      </c>
      <c r="X18">
        <f t="shared" si="1"/>
        <v>1</v>
      </c>
      <c r="Y18">
        <v>17</v>
      </c>
      <c r="Z18" s="4">
        <f t="shared" si="2"/>
        <v>16</v>
      </c>
    </row>
    <row r="19" spans="1:26" x14ac:dyDescent="0.2">
      <c r="A19" s="11">
        <v>5</v>
      </c>
      <c r="B19" s="4">
        <v>137</v>
      </c>
      <c r="C19" s="4">
        <v>2</v>
      </c>
      <c r="D19" s="4">
        <v>2</v>
      </c>
      <c r="E19" s="4">
        <v>1</v>
      </c>
      <c r="F19" s="4">
        <v>1</v>
      </c>
      <c r="G19" t="s">
        <v>21</v>
      </c>
      <c r="H19" s="4">
        <v>4</v>
      </c>
      <c r="I19" s="4">
        <v>11</v>
      </c>
      <c r="J19" s="4">
        <v>28</v>
      </c>
      <c r="K19" s="2">
        <v>36.363636363636303</v>
      </c>
      <c r="L19" s="2">
        <v>14.285714285714199</v>
      </c>
      <c r="M19" s="2">
        <v>0.21413276231263301</v>
      </c>
      <c r="N19" s="1">
        <v>2.6394680782830601E-6</v>
      </c>
      <c r="O19" s="2">
        <v>5.5784835859870796</v>
      </c>
      <c r="P19" s="2">
        <v>66.714285714285694</v>
      </c>
      <c r="Q19" s="3">
        <v>125.707524424944</v>
      </c>
      <c r="R19" s="2">
        <v>2.25</v>
      </c>
      <c r="S19" s="2">
        <v>20.309999999999999</v>
      </c>
      <c r="T19" s="2">
        <v>1.32</v>
      </c>
      <c r="V19" s="4">
        <f t="shared" si="3"/>
        <v>8</v>
      </c>
      <c r="W19">
        <f t="shared" si="0"/>
        <v>2</v>
      </c>
      <c r="X19">
        <f t="shared" si="1"/>
        <v>1</v>
      </c>
      <c r="Y19">
        <v>18</v>
      </c>
      <c r="Z19" s="4">
        <f t="shared" si="2"/>
        <v>17</v>
      </c>
    </row>
    <row r="20" spans="1:26" x14ac:dyDescent="0.2">
      <c r="A20" s="11">
        <v>5</v>
      </c>
      <c r="B20" s="4">
        <v>137</v>
      </c>
      <c r="C20" s="4">
        <v>2</v>
      </c>
      <c r="D20" s="4">
        <v>2</v>
      </c>
      <c r="E20" s="4">
        <v>1</v>
      </c>
      <c r="F20" s="4">
        <v>2</v>
      </c>
      <c r="G20" t="s">
        <v>22</v>
      </c>
      <c r="H20" s="4">
        <v>4</v>
      </c>
      <c r="I20" s="4">
        <v>28</v>
      </c>
      <c r="J20" s="4">
        <v>11</v>
      </c>
      <c r="K20" s="2">
        <v>14.285714285714199</v>
      </c>
      <c r="L20" s="2">
        <v>36.363636363636303</v>
      </c>
      <c r="M20" s="2">
        <v>0.73037127206329799</v>
      </c>
      <c r="N20" s="1">
        <v>2.6394680782830601E-6</v>
      </c>
      <c r="O20" s="2">
        <v>5.5784835859870796</v>
      </c>
      <c r="P20" s="2">
        <v>49.787878787878697</v>
      </c>
      <c r="Q20" s="3">
        <v>125.707524424944</v>
      </c>
      <c r="R20" s="2">
        <v>0.87</v>
      </c>
      <c r="S20" s="2">
        <v>20.309999999999999</v>
      </c>
      <c r="T20" s="2">
        <v>1.32</v>
      </c>
      <c r="V20" s="4">
        <f t="shared" si="3"/>
        <v>8</v>
      </c>
      <c r="W20">
        <f t="shared" si="0"/>
        <v>2</v>
      </c>
      <c r="X20">
        <f t="shared" si="1"/>
        <v>1</v>
      </c>
      <c r="Y20">
        <v>19</v>
      </c>
      <c r="Z20" s="4">
        <f t="shared" si="2"/>
        <v>18</v>
      </c>
    </row>
    <row r="21" spans="1:26" x14ac:dyDescent="0.2">
      <c r="A21" s="11">
        <v>5</v>
      </c>
      <c r="B21" s="4">
        <v>1656</v>
      </c>
      <c r="C21" s="4">
        <v>2</v>
      </c>
      <c r="D21" s="4">
        <v>2</v>
      </c>
      <c r="E21" s="4">
        <v>1</v>
      </c>
      <c r="F21" s="4">
        <v>1</v>
      </c>
      <c r="G21" t="s">
        <v>23</v>
      </c>
      <c r="H21" s="4">
        <v>12</v>
      </c>
      <c r="I21" s="4">
        <v>134</v>
      </c>
      <c r="J21" s="4">
        <v>60</v>
      </c>
      <c r="K21" s="2">
        <v>8.9552238805970106</v>
      </c>
      <c r="L21" s="2">
        <v>20</v>
      </c>
      <c r="M21" s="2">
        <v>3.7689218412109899</v>
      </c>
      <c r="N21" s="1">
        <v>6.5328662203254E-6</v>
      </c>
      <c r="O21" s="2">
        <v>5.1848962351776002</v>
      </c>
      <c r="P21" s="2">
        <v>5.3065573770491801</v>
      </c>
      <c r="Q21" s="3">
        <v>35.747968939954198</v>
      </c>
      <c r="R21" s="2">
        <v>4.41</v>
      </c>
      <c r="S21" s="2">
        <v>23.46</v>
      </c>
      <c r="T21" s="2">
        <v>1.53</v>
      </c>
      <c r="V21" s="4">
        <f t="shared" si="3"/>
        <v>9</v>
      </c>
      <c r="W21">
        <f t="shared" si="0"/>
        <v>2</v>
      </c>
      <c r="X21">
        <f t="shared" si="1"/>
        <v>1</v>
      </c>
      <c r="Y21">
        <v>20</v>
      </c>
      <c r="Z21" s="4">
        <f t="shared" si="2"/>
        <v>19</v>
      </c>
    </row>
    <row r="22" spans="1:26" x14ac:dyDescent="0.2">
      <c r="A22" s="11">
        <v>5</v>
      </c>
      <c r="B22" s="4">
        <v>1656</v>
      </c>
      <c r="C22" s="4">
        <v>2</v>
      </c>
      <c r="D22" s="4">
        <v>2</v>
      </c>
      <c r="E22" s="4">
        <v>1</v>
      </c>
      <c r="F22" s="4">
        <v>2</v>
      </c>
      <c r="G22" t="s">
        <v>24</v>
      </c>
      <c r="H22" s="4">
        <v>12</v>
      </c>
      <c r="I22" s="4">
        <v>61</v>
      </c>
      <c r="J22" s="4">
        <v>133</v>
      </c>
      <c r="K22" s="2">
        <v>19.672131147540899</v>
      </c>
      <c r="L22" s="2">
        <v>9.0225563909774404</v>
      </c>
      <c r="M22" s="2">
        <v>1.54867256637168</v>
      </c>
      <c r="N22" s="1">
        <v>7.2522557581318896E-6</v>
      </c>
      <c r="O22" s="2">
        <v>5.1395268884724397</v>
      </c>
      <c r="P22" s="2">
        <v>5.8259935553168596</v>
      </c>
      <c r="Q22" s="3">
        <v>35.253145763529297</v>
      </c>
      <c r="R22" s="2">
        <v>35.950000000000003</v>
      </c>
      <c r="S22" s="2">
        <v>23.46</v>
      </c>
      <c r="T22" s="2">
        <v>1.53</v>
      </c>
      <c r="V22" s="4">
        <f t="shared" si="3"/>
        <v>9</v>
      </c>
      <c r="W22">
        <f t="shared" si="0"/>
        <v>2</v>
      </c>
      <c r="X22">
        <f t="shared" si="1"/>
        <v>1</v>
      </c>
      <c r="Y22">
        <v>21</v>
      </c>
      <c r="Z22" s="4">
        <f t="shared" si="2"/>
        <v>20</v>
      </c>
    </row>
    <row r="23" spans="1:26" x14ac:dyDescent="0.2">
      <c r="A23" s="11">
        <v>6</v>
      </c>
      <c r="B23" s="4">
        <v>1655</v>
      </c>
      <c r="C23" s="4">
        <v>2</v>
      </c>
      <c r="D23" s="4">
        <v>2</v>
      </c>
      <c r="E23" s="4">
        <v>1</v>
      </c>
      <c r="F23" s="4">
        <v>1</v>
      </c>
      <c r="G23" t="s">
        <v>25</v>
      </c>
      <c r="H23" s="4">
        <v>5</v>
      </c>
      <c r="I23" s="4">
        <v>157</v>
      </c>
      <c r="J23" s="4">
        <v>6</v>
      </c>
      <c r="K23" s="2">
        <v>3.1847133757961701</v>
      </c>
      <c r="L23" s="2">
        <v>83.3333333333333</v>
      </c>
      <c r="M23" s="2">
        <v>4.61865694317836</v>
      </c>
      <c r="N23" s="1">
        <v>2.6572479255300002E-6</v>
      </c>
      <c r="O23" s="2">
        <v>5.5755679233215796</v>
      </c>
      <c r="P23" s="2">
        <v>18.042763157894701</v>
      </c>
      <c r="Q23" s="3">
        <v>65.387744986326297</v>
      </c>
      <c r="R23" s="2">
        <v>6.41</v>
      </c>
      <c r="S23" s="2">
        <v>22.4</v>
      </c>
      <c r="T23" s="2">
        <v>1.46</v>
      </c>
      <c r="V23" s="4">
        <f t="shared" si="3"/>
        <v>10</v>
      </c>
      <c r="W23">
        <f t="shared" si="0"/>
        <v>2</v>
      </c>
      <c r="X23">
        <f t="shared" si="1"/>
        <v>1</v>
      </c>
      <c r="Y23">
        <v>22</v>
      </c>
      <c r="Z23" s="4">
        <f t="shared" si="2"/>
        <v>21</v>
      </c>
    </row>
    <row r="24" spans="1:26" x14ac:dyDescent="0.2">
      <c r="A24" s="11">
        <v>6</v>
      </c>
      <c r="B24" s="4">
        <v>1655</v>
      </c>
      <c r="C24" s="4">
        <v>2</v>
      </c>
      <c r="D24" s="4">
        <v>2</v>
      </c>
      <c r="E24" s="4">
        <v>1</v>
      </c>
      <c r="F24" s="4">
        <v>2</v>
      </c>
      <c r="G24" t="s">
        <v>26</v>
      </c>
      <c r="H24" s="4">
        <v>5</v>
      </c>
      <c r="I24" s="4">
        <v>6</v>
      </c>
      <c r="J24" s="4">
        <v>152</v>
      </c>
      <c r="K24" s="2">
        <v>83.3333333333333</v>
      </c>
      <c r="L24" s="2">
        <v>3.2894736842105199</v>
      </c>
      <c r="M24" s="2">
        <v>3.17965023847376E-2</v>
      </c>
      <c r="N24" s="1">
        <v>2.2583698077375202E-6</v>
      </c>
      <c r="O24" s="2">
        <v>5.6462049409276602</v>
      </c>
      <c r="P24" s="2">
        <v>103.453947368421</v>
      </c>
      <c r="Q24" s="3">
        <v>67.722782852842101</v>
      </c>
      <c r="R24" s="2">
        <v>0.6</v>
      </c>
      <c r="S24" s="2">
        <v>22.4</v>
      </c>
      <c r="T24" s="2">
        <v>1.46</v>
      </c>
      <c r="V24" s="4">
        <f t="shared" si="3"/>
        <v>10</v>
      </c>
      <c r="W24">
        <f t="shared" si="0"/>
        <v>2</v>
      </c>
      <c r="X24">
        <f t="shared" si="1"/>
        <v>1</v>
      </c>
      <c r="Y24">
        <v>23</v>
      </c>
      <c r="Z24" s="4">
        <f t="shared" si="2"/>
        <v>22</v>
      </c>
    </row>
    <row r="25" spans="1:26" x14ac:dyDescent="0.2">
      <c r="A25" s="11">
        <v>7</v>
      </c>
      <c r="B25" s="4">
        <v>413</v>
      </c>
      <c r="C25" s="4">
        <v>2</v>
      </c>
      <c r="D25" s="4">
        <v>2</v>
      </c>
      <c r="E25" s="4">
        <v>1</v>
      </c>
      <c r="F25" s="4">
        <v>1</v>
      </c>
      <c r="G25" t="s">
        <v>27</v>
      </c>
      <c r="H25" s="4">
        <v>4</v>
      </c>
      <c r="I25" s="4">
        <v>28</v>
      </c>
      <c r="J25" s="4">
        <v>9</v>
      </c>
      <c r="K25" s="2">
        <v>14.285714285714199</v>
      </c>
      <c r="L25" s="2">
        <v>44.4444444444444</v>
      </c>
      <c r="M25" s="2">
        <v>0.72992700729926996</v>
      </c>
      <c r="N25" s="1">
        <v>1.0196529870343601E-6</v>
      </c>
      <c r="O25" s="2">
        <v>5.9915476041769598</v>
      </c>
      <c r="P25" s="2">
        <v>60.8888888888888</v>
      </c>
      <c r="Q25" s="3">
        <v>155.084074828263</v>
      </c>
      <c r="R25" s="2">
        <v>10.88</v>
      </c>
      <c r="S25" s="2">
        <v>22.44</v>
      </c>
      <c r="T25" s="2">
        <v>1.46</v>
      </c>
      <c r="V25" s="4">
        <f t="shared" si="3"/>
        <v>11</v>
      </c>
      <c r="W25">
        <f t="shared" si="0"/>
        <v>2</v>
      </c>
      <c r="X25">
        <f t="shared" si="1"/>
        <v>1</v>
      </c>
      <c r="Y25">
        <v>24</v>
      </c>
      <c r="Z25" s="4">
        <f t="shared" si="2"/>
        <v>23</v>
      </c>
    </row>
    <row r="26" spans="1:26" x14ac:dyDescent="0.2">
      <c r="A26" s="11">
        <v>7</v>
      </c>
      <c r="B26" s="4">
        <v>413</v>
      </c>
      <c r="C26" s="4">
        <v>2</v>
      </c>
      <c r="D26" s="4">
        <v>2</v>
      </c>
      <c r="E26" s="4">
        <v>1</v>
      </c>
      <c r="F26" s="4">
        <v>2</v>
      </c>
      <c r="G26" t="s">
        <v>28</v>
      </c>
      <c r="H26" s="4">
        <v>4</v>
      </c>
      <c r="I26" s="4">
        <v>9</v>
      </c>
      <c r="J26" s="4">
        <v>27</v>
      </c>
      <c r="K26" s="2">
        <v>44.4444444444444</v>
      </c>
      <c r="L26" s="2">
        <v>14.814814814814801</v>
      </c>
      <c r="M26" s="2">
        <v>0.15290519877675801</v>
      </c>
      <c r="N26" s="1">
        <v>8.7505616538656796E-7</v>
      </c>
      <c r="O26" s="2">
        <v>6.0579640709381</v>
      </c>
      <c r="P26" s="2">
        <v>96.8888888888888</v>
      </c>
      <c r="Q26" s="3">
        <v>161.03524017101401</v>
      </c>
      <c r="R26" s="2">
        <v>1.85</v>
      </c>
      <c r="S26" s="2">
        <v>22.44</v>
      </c>
      <c r="T26" s="2">
        <v>1.46</v>
      </c>
      <c r="V26" s="4">
        <f t="shared" si="3"/>
        <v>11</v>
      </c>
      <c r="W26">
        <f t="shared" si="0"/>
        <v>2</v>
      </c>
      <c r="X26">
        <f t="shared" si="1"/>
        <v>1</v>
      </c>
      <c r="Y26">
        <v>25</v>
      </c>
      <c r="Z26" s="4">
        <f t="shared" si="2"/>
        <v>24</v>
      </c>
    </row>
    <row r="27" spans="1:26" x14ac:dyDescent="0.2">
      <c r="A27" s="11">
        <v>7</v>
      </c>
      <c r="B27" s="4">
        <v>861</v>
      </c>
      <c r="C27" s="4">
        <v>2</v>
      </c>
      <c r="D27" s="4">
        <v>2</v>
      </c>
      <c r="E27" s="4">
        <v>1</v>
      </c>
      <c r="F27" s="4">
        <v>1</v>
      </c>
      <c r="G27" t="s">
        <v>29</v>
      </c>
      <c r="H27" s="4">
        <v>4</v>
      </c>
      <c r="I27" s="4">
        <v>13</v>
      </c>
      <c r="J27" s="4">
        <v>32</v>
      </c>
      <c r="K27" s="2">
        <v>30.769230769230699</v>
      </c>
      <c r="L27" s="2">
        <v>12.5</v>
      </c>
      <c r="M27" s="2">
        <v>0.27565084226646203</v>
      </c>
      <c r="N27" s="1">
        <v>9.8402646045908702E-6</v>
      </c>
      <c r="O27" s="2">
        <v>5.0069932232385099</v>
      </c>
      <c r="P27" s="2">
        <v>45.3472222222222</v>
      </c>
      <c r="Q27" s="3">
        <v>91.458105449875802</v>
      </c>
      <c r="R27" s="2">
        <v>1.2</v>
      </c>
      <c r="S27" s="2">
        <v>21.73</v>
      </c>
      <c r="T27" s="2">
        <v>1.42</v>
      </c>
      <c r="V27" s="4">
        <f t="shared" si="3"/>
        <v>12</v>
      </c>
      <c r="W27">
        <f t="shared" si="0"/>
        <v>2</v>
      </c>
      <c r="X27">
        <f t="shared" si="1"/>
        <v>1</v>
      </c>
      <c r="Y27">
        <v>26</v>
      </c>
      <c r="Z27" s="4">
        <f t="shared" si="2"/>
        <v>25</v>
      </c>
    </row>
    <row r="28" spans="1:26" x14ac:dyDescent="0.2">
      <c r="A28" s="11">
        <v>7</v>
      </c>
      <c r="B28" s="4">
        <v>861</v>
      </c>
      <c r="C28" s="4">
        <v>2</v>
      </c>
      <c r="D28" s="4">
        <v>2</v>
      </c>
      <c r="E28" s="4">
        <v>1</v>
      </c>
      <c r="F28" s="4">
        <v>2</v>
      </c>
      <c r="G28" t="s">
        <v>30</v>
      </c>
      <c r="H28" s="4">
        <v>4</v>
      </c>
      <c r="I28" s="4">
        <v>32</v>
      </c>
      <c r="J28" s="4">
        <v>13</v>
      </c>
      <c r="K28" s="2">
        <v>12.5</v>
      </c>
      <c r="L28" s="2">
        <v>30.769230769230699</v>
      </c>
      <c r="M28" s="2">
        <v>0.85261875761266703</v>
      </c>
      <c r="N28" s="1">
        <v>9.8402646045908601E-6</v>
      </c>
      <c r="O28" s="2">
        <v>5.0069932232385099</v>
      </c>
      <c r="P28" s="2">
        <v>36.087912087912002</v>
      </c>
      <c r="Q28" s="3">
        <v>91.458105449875802</v>
      </c>
      <c r="R28" s="2">
        <v>1.78</v>
      </c>
      <c r="S28" s="2">
        <v>21.73</v>
      </c>
      <c r="T28" s="2">
        <v>1.42</v>
      </c>
      <c r="V28" s="4">
        <f t="shared" si="3"/>
        <v>12</v>
      </c>
      <c r="W28">
        <f t="shared" si="0"/>
        <v>2</v>
      </c>
      <c r="X28">
        <f t="shared" si="1"/>
        <v>1</v>
      </c>
      <c r="Y28">
        <v>27</v>
      </c>
      <c r="Z28" s="4">
        <f t="shared" si="2"/>
        <v>26</v>
      </c>
    </row>
    <row r="29" spans="1:26" x14ac:dyDescent="0.2">
      <c r="A29" s="11">
        <v>7</v>
      </c>
      <c r="B29" s="4">
        <v>2413</v>
      </c>
      <c r="C29" s="4">
        <v>2</v>
      </c>
      <c r="D29" s="4">
        <v>2</v>
      </c>
      <c r="E29" s="4">
        <v>1</v>
      </c>
      <c r="F29" s="4">
        <v>1</v>
      </c>
      <c r="G29" t="s">
        <v>31</v>
      </c>
      <c r="H29" s="4">
        <v>4</v>
      </c>
      <c r="I29" s="4">
        <v>9</v>
      </c>
      <c r="J29" s="4">
        <v>37</v>
      </c>
      <c r="K29" s="2">
        <v>44.4444444444444</v>
      </c>
      <c r="L29" s="2">
        <v>10.8108108108108</v>
      </c>
      <c r="M29" s="2">
        <v>0.153374233128834</v>
      </c>
      <c r="N29" s="1">
        <v>3.2530495748677599E-6</v>
      </c>
      <c r="O29" s="2">
        <v>5.4877093182344501</v>
      </c>
      <c r="P29" s="2">
        <v>70.486486486486399</v>
      </c>
      <c r="Q29" s="3">
        <v>116.001951555875</v>
      </c>
      <c r="R29" s="2">
        <v>0.61</v>
      </c>
      <c r="S29" s="2">
        <v>26.29</v>
      </c>
      <c r="T29" s="2">
        <v>1.71</v>
      </c>
      <c r="V29" s="4">
        <f t="shared" si="3"/>
        <v>13</v>
      </c>
      <c r="W29">
        <f t="shared" si="0"/>
        <v>2</v>
      </c>
      <c r="X29">
        <f t="shared" si="1"/>
        <v>1</v>
      </c>
      <c r="Y29">
        <v>28</v>
      </c>
      <c r="Z29" s="4">
        <f t="shared" si="2"/>
        <v>27</v>
      </c>
    </row>
    <row r="30" spans="1:26" x14ac:dyDescent="0.2">
      <c r="A30" s="11">
        <v>7</v>
      </c>
      <c r="B30" s="4">
        <v>2413</v>
      </c>
      <c r="C30" s="4">
        <v>2</v>
      </c>
      <c r="D30" s="4">
        <v>2</v>
      </c>
      <c r="E30" s="4">
        <v>1</v>
      </c>
      <c r="F30" s="4">
        <v>2</v>
      </c>
      <c r="G30" t="s">
        <v>32</v>
      </c>
      <c r="H30" s="4">
        <v>4</v>
      </c>
      <c r="I30" s="4">
        <v>37</v>
      </c>
      <c r="J30" s="4">
        <v>8</v>
      </c>
      <c r="K30" s="2">
        <v>10.8108108108108</v>
      </c>
      <c r="L30" s="2">
        <v>50</v>
      </c>
      <c r="M30" s="2">
        <v>1.0033444816053501</v>
      </c>
      <c r="N30" s="1">
        <v>1.82185055785645E-6</v>
      </c>
      <c r="O30" s="2">
        <v>5.7394872500633998</v>
      </c>
      <c r="P30" s="2">
        <v>49.8333333333333</v>
      </c>
      <c r="Q30" s="3">
        <v>131.32542380111599</v>
      </c>
      <c r="R30" s="2">
        <v>1.97</v>
      </c>
      <c r="S30" s="2">
        <v>26.29</v>
      </c>
      <c r="T30" s="2">
        <v>1.71</v>
      </c>
      <c r="V30" s="4">
        <f t="shared" si="3"/>
        <v>13</v>
      </c>
      <c r="W30">
        <f t="shared" si="0"/>
        <v>2</v>
      </c>
      <c r="X30">
        <f t="shared" si="1"/>
        <v>1</v>
      </c>
      <c r="Y30">
        <v>29</v>
      </c>
      <c r="Z30" s="4">
        <f t="shared" si="2"/>
        <v>28</v>
      </c>
    </row>
    <row r="31" spans="1:26" x14ac:dyDescent="0.2">
      <c r="A31" s="11">
        <v>8</v>
      </c>
      <c r="B31" s="4">
        <v>408</v>
      </c>
      <c r="C31" s="4">
        <v>2</v>
      </c>
      <c r="D31" s="4">
        <v>2</v>
      </c>
      <c r="E31" s="4">
        <v>1</v>
      </c>
      <c r="F31" s="4">
        <v>1</v>
      </c>
      <c r="G31" t="s">
        <v>33</v>
      </c>
      <c r="H31" s="4">
        <v>33</v>
      </c>
      <c r="I31" s="4">
        <v>373</v>
      </c>
      <c r="J31" s="4">
        <v>128</v>
      </c>
      <c r="K31" s="2">
        <v>8.8471849865951704</v>
      </c>
      <c r="L31" s="2">
        <v>25.78125</v>
      </c>
      <c r="M31" s="2">
        <v>10.728936573051399</v>
      </c>
      <c r="N31" s="1">
        <v>5.05396729106367E-6</v>
      </c>
      <c r="O31" s="2">
        <v>5.2963675731316799</v>
      </c>
      <c r="P31" s="2">
        <v>2.4029641544117601</v>
      </c>
      <c r="Q31" s="3">
        <v>27.782508863483699</v>
      </c>
      <c r="R31" s="2">
        <v>18.059999999999999</v>
      </c>
      <c r="S31" s="2">
        <v>21.81</v>
      </c>
      <c r="T31" s="2">
        <v>1.42</v>
      </c>
      <c r="V31" s="4">
        <f t="shared" si="3"/>
        <v>14</v>
      </c>
      <c r="W31">
        <f t="shared" si="0"/>
        <v>2</v>
      </c>
      <c r="X31">
        <f t="shared" si="1"/>
        <v>1</v>
      </c>
      <c r="Y31">
        <v>30</v>
      </c>
      <c r="Z31" s="4">
        <f t="shared" si="2"/>
        <v>29</v>
      </c>
    </row>
    <row r="32" spans="1:26" x14ac:dyDescent="0.2">
      <c r="A32" s="11">
        <v>8</v>
      </c>
      <c r="B32" s="4">
        <v>408</v>
      </c>
      <c r="C32" s="4">
        <v>2</v>
      </c>
      <c r="D32" s="4">
        <v>2</v>
      </c>
      <c r="E32" s="4">
        <v>1</v>
      </c>
      <c r="F32" s="4">
        <v>2</v>
      </c>
      <c r="G32" t="s">
        <v>34</v>
      </c>
      <c r="H32" s="4">
        <v>33</v>
      </c>
      <c r="I32" s="4">
        <v>128</v>
      </c>
      <c r="J32" s="4">
        <v>368</v>
      </c>
      <c r="K32" s="2">
        <v>25.78125</v>
      </c>
      <c r="L32" s="2">
        <v>8.9673913043478208</v>
      </c>
      <c r="M32" s="2">
        <v>3.2434277910549598</v>
      </c>
      <c r="N32" s="1">
        <v>3.7118460712276601E-6</v>
      </c>
      <c r="O32" s="2">
        <v>5.4304100420982504</v>
      </c>
      <c r="P32" s="2">
        <v>2.7647883295194502</v>
      </c>
      <c r="Q32" s="3">
        <v>28.704345060846698</v>
      </c>
      <c r="R32" s="2">
        <v>16.73</v>
      </c>
      <c r="S32" s="2">
        <v>21.81</v>
      </c>
      <c r="T32" s="2">
        <v>1.42</v>
      </c>
      <c r="V32" s="4">
        <f t="shared" si="3"/>
        <v>14</v>
      </c>
      <c r="W32">
        <f t="shared" si="0"/>
        <v>2</v>
      </c>
      <c r="X32">
        <f t="shared" si="1"/>
        <v>1</v>
      </c>
      <c r="Y32">
        <v>31</v>
      </c>
      <c r="Z32" s="4">
        <f t="shared" si="2"/>
        <v>30</v>
      </c>
    </row>
    <row r="33" spans="1:26" x14ac:dyDescent="0.2">
      <c r="A33" s="11">
        <v>8</v>
      </c>
      <c r="B33" s="4">
        <v>1074</v>
      </c>
      <c r="C33" s="4">
        <v>2</v>
      </c>
      <c r="D33" s="4">
        <v>2</v>
      </c>
      <c r="E33" s="4">
        <v>1</v>
      </c>
      <c r="F33" s="4">
        <v>1</v>
      </c>
      <c r="G33" t="s">
        <v>35</v>
      </c>
      <c r="H33" s="4">
        <v>4</v>
      </c>
      <c r="I33" s="4">
        <v>99</v>
      </c>
      <c r="J33" s="4">
        <v>5</v>
      </c>
      <c r="K33" s="2">
        <v>4.0404040404040398</v>
      </c>
      <c r="L33" s="2">
        <v>80</v>
      </c>
      <c r="M33" s="2">
        <v>2.8857837181044901</v>
      </c>
      <c r="N33" s="1">
        <v>7.4830458089998101E-6</v>
      </c>
      <c r="O33" s="2">
        <v>5.1259215961460702</v>
      </c>
      <c r="P33" s="2">
        <v>27.7221052631578</v>
      </c>
      <c r="Q33" s="3">
        <v>77.173390599894404</v>
      </c>
      <c r="R33" s="2">
        <v>163.38</v>
      </c>
      <c r="S33" s="2">
        <v>21.74</v>
      </c>
      <c r="T33" s="2">
        <v>1.42</v>
      </c>
      <c r="V33" s="4">
        <f t="shared" si="3"/>
        <v>15</v>
      </c>
      <c r="W33">
        <f t="shared" si="0"/>
        <v>2</v>
      </c>
      <c r="X33">
        <f t="shared" si="1"/>
        <v>1</v>
      </c>
      <c r="Y33">
        <v>32</v>
      </c>
      <c r="Z33" s="4">
        <f t="shared" si="2"/>
        <v>31</v>
      </c>
    </row>
    <row r="34" spans="1:26" x14ac:dyDescent="0.2">
      <c r="A34" s="11">
        <v>8</v>
      </c>
      <c r="B34" s="4">
        <v>1074</v>
      </c>
      <c r="C34" s="4">
        <v>2</v>
      </c>
      <c r="D34" s="4">
        <v>2</v>
      </c>
      <c r="E34" s="4">
        <v>1</v>
      </c>
      <c r="F34" s="4">
        <v>2</v>
      </c>
      <c r="G34" t="s">
        <v>36</v>
      </c>
      <c r="H34" s="4">
        <v>4</v>
      </c>
      <c r="I34" s="4">
        <v>5</v>
      </c>
      <c r="J34" s="4">
        <v>99</v>
      </c>
      <c r="K34" s="2">
        <v>80</v>
      </c>
      <c r="L34" s="2">
        <v>4.0404040404040398</v>
      </c>
      <c r="M34" s="2">
        <v>3.12695434646654E-2</v>
      </c>
      <c r="N34" s="1">
        <v>7.4830458089997999E-6</v>
      </c>
      <c r="O34" s="2">
        <v>5.1259215961460702</v>
      </c>
      <c r="P34" s="2">
        <v>129.21212121212099</v>
      </c>
      <c r="Q34" s="3">
        <v>77.173390599894404</v>
      </c>
      <c r="R34" s="2">
        <v>0.93</v>
      </c>
      <c r="S34" s="2">
        <v>21.74</v>
      </c>
      <c r="T34" s="2">
        <v>1.42</v>
      </c>
      <c r="V34" s="4">
        <f t="shared" si="3"/>
        <v>15</v>
      </c>
      <c r="W34">
        <f t="shared" si="0"/>
        <v>2</v>
      </c>
      <c r="X34">
        <f t="shared" si="1"/>
        <v>1</v>
      </c>
      <c r="Y34">
        <v>33</v>
      </c>
      <c r="Z34" s="4">
        <f t="shared" si="2"/>
        <v>32</v>
      </c>
    </row>
    <row r="35" spans="1:26" x14ac:dyDescent="0.2">
      <c r="A35" s="11">
        <v>9</v>
      </c>
      <c r="B35" s="4">
        <v>1271</v>
      </c>
      <c r="C35" s="4">
        <v>2</v>
      </c>
      <c r="D35" s="4">
        <v>2</v>
      </c>
      <c r="E35" s="4">
        <v>1</v>
      </c>
      <c r="F35" s="4">
        <v>1</v>
      </c>
      <c r="G35" t="s">
        <v>37</v>
      </c>
      <c r="H35" s="4">
        <v>9</v>
      </c>
      <c r="I35" s="4">
        <v>60</v>
      </c>
      <c r="J35" s="4">
        <v>53</v>
      </c>
      <c r="K35" s="2">
        <v>15</v>
      </c>
      <c r="L35" s="2">
        <v>16.981132075471699</v>
      </c>
      <c r="M35" s="2">
        <v>1.57213316892725</v>
      </c>
      <c r="N35" s="1">
        <v>5.6158627139451101E-7</v>
      </c>
      <c r="O35" s="2">
        <v>6.2505835175635802</v>
      </c>
      <c r="P35" s="2">
        <v>10.8013318534961</v>
      </c>
      <c r="Q35" s="3">
        <v>60.943698115883798</v>
      </c>
      <c r="R35" s="2">
        <v>0.4</v>
      </c>
      <c r="S35" s="2">
        <v>22.58</v>
      </c>
      <c r="T35" s="2">
        <v>1.47</v>
      </c>
      <c r="V35" s="4">
        <f t="shared" si="3"/>
        <v>16</v>
      </c>
      <c r="W35">
        <f t="shared" si="0"/>
        <v>2</v>
      </c>
      <c r="X35">
        <f t="shared" si="1"/>
        <v>1</v>
      </c>
      <c r="Y35">
        <v>34</v>
      </c>
      <c r="Z35" s="4">
        <f t="shared" si="2"/>
        <v>33</v>
      </c>
    </row>
    <row r="36" spans="1:26" x14ac:dyDescent="0.2">
      <c r="A36" s="11">
        <v>9</v>
      </c>
      <c r="B36" s="4">
        <v>1271</v>
      </c>
      <c r="C36" s="4">
        <v>2</v>
      </c>
      <c r="D36" s="4">
        <v>2</v>
      </c>
      <c r="E36" s="4">
        <v>1</v>
      </c>
      <c r="F36" s="4">
        <v>2</v>
      </c>
      <c r="G36" t="s">
        <v>38</v>
      </c>
      <c r="H36" s="4">
        <v>9</v>
      </c>
      <c r="I36" s="4">
        <v>54</v>
      </c>
      <c r="J36" s="4">
        <v>59</v>
      </c>
      <c r="K36" s="2">
        <v>16.6666666666666</v>
      </c>
      <c r="L36" s="2">
        <v>15.254237288135499</v>
      </c>
      <c r="M36" s="2">
        <v>1.3897467572575599</v>
      </c>
      <c r="N36" s="1">
        <v>5.71872074730461E-7</v>
      </c>
      <c r="O36" s="2">
        <v>6.2427011101093299</v>
      </c>
      <c r="P36" s="2">
        <v>10.9762711864406</v>
      </c>
      <c r="Q36" s="3">
        <v>60.799514731966198</v>
      </c>
      <c r="R36" s="2">
        <v>0.92</v>
      </c>
      <c r="S36" s="2">
        <v>22.58</v>
      </c>
      <c r="T36" s="2">
        <v>1.47</v>
      </c>
      <c r="V36" s="4">
        <f t="shared" si="3"/>
        <v>16</v>
      </c>
      <c r="W36">
        <f t="shared" si="0"/>
        <v>2</v>
      </c>
      <c r="X36">
        <f t="shared" si="1"/>
        <v>1</v>
      </c>
      <c r="Y36">
        <v>35</v>
      </c>
      <c r="Z36" s="4">
        <f t="shared" si="2"/>
        <v>34</v>
      </c>
    </row>
    <row r="37" spans="1:26" x14ac:dyDescent="0.2">
      <c r="A37" s="11">
        <v>10</v>
      </c>
      <c r="B37" s="4">
        <v>984</v>
      </c>
      <c r="C37" s="4">
        <v>3</v>
      </c>
      <c r="D37" s="4">
        <v>3</v>
      </c>
      <c r="E37" s="4">
        <v>1</v>
      </c>
      <c r="F37" s="4">
        <v>1</v>
      </c>
      <c r="G37" t="s">
        <v>39</v>
      </c>
      <c r="H37" s="4">
        <v>3</v>
      </c>
      <c r="I37" s="4">
        <v>4</v>
      </c>
      <c r="J37" s="4">
        <v>19</v>
      </c>
      <c r="K37" s="2">
        <v>75</v>
      </c>
      <c r="L37" s="2">
        <v>15.789473684210501</v>
      </c>
      <c r="M37" s="2">
        <v>3.0506406345332499E-2</v>
      </c>
      <c r="N37" s="1">
        <v>1.2942507556323E-6</v>
      </c>
      <c r="O37" s="2">
        <v>5.8879815727885596</v>
      </c>
      <c r="P37" s="2">
        <v>517.57894736842104</v>
      </c>
      <c r="Q37" s="3">
        <v>268.02580416983898</v>
      </c>
      <c r="R37" s="2">
        <v>0.69</v>
      </c>
      <c r="S37" s="2">
        <v>36.5</v>
      </c>
      <c r="T37" s="2">
        <v>2.38</v>
      </c>
      <c r="V37" s="4">
        <f t="shared" si="3"/>
        <v>17</v>
      </c>
      <c r="W37">
        <f t="shared" si="0"/>
        <v>3</v>
      </c>
      <c r="X37">
        <f t="shared" si="1"/>
        <v>1</v>
      </c>
      <c r="Y37">
        <v>36</v>
      </c>
      <c r="Z37" s="4">
        <f t="shared" si="2"/>
        <v>35</v>
      </c>
    </row>
    <row r="38" spans="1:26" x14ac:dyDescent="0.2">
      <c r="A38" s="11">
        <v>10</v>
      </c>
      <c r="B38" s="4">
        <v>984</v>
      </c>
      <c r="C38" s="4">
        <v>3</v>
      </c>
      <c r="D38" s="4">
        <v>3</v>
      </c>
      <c r="E38" s="4">
        <v>1</v>
      </c>
      <c r="F38" s="4">
        <v>2</v>
      </c>
      <c r="G38" t="s">
        <v>40</v>
      </c>
      <c r="H38" s="4">
        <v>3</v>
      </c>
      <c r="I38" s="4">
        <v>3</v>
      </c>
      <c r="J38" s="4">
        <v>20</v>
      </c>
      <c r="K38" s="2">
        <v>100</v>
      </c>
      <c r="L38" s="2">
        <v>15</v>
      </c>
      <c r="M38" s="2">
        <v>0</v>
      </c>
      <c r="N38" s="1">
        <v>3.8205380408760797E-7</v>
      </c>
      <c r="O38" s="2">
        <v>6.4178754717141597</v>
      </c>
      <c r="P38" s="2" t="s">
        <v>41</v>
      </c>
      <c r="Q38" s="3">
        <v>340.83147065530397</v>
      </c>
      <c r="R38" s="2">
        <v>0.48</v>
      </c>
      <c r="S38" s="2">
        <v>36.5</v>
      </c>
      <c r="T38" s="2">
        <v>2.38</v>
      </c>
      <c r="V38" s="4">
        <f t="shared" si="3"/>
        <v>17</v>
      </c>
      <c r="W38">
        <f t="shared" si="0"/>
        <v>3</v>
      </c>
      <c r="X38">
        <f t="shared" si="1"/>
        <v>1</v>
      </c>
      <c r="Y38">
        <v>37</v>
      </c>
      <c r="Z38" s="4">
        <f t="shared" si="2"/>
        <v>36</v>
      </c>
    </row>
    <row r="39" spans="1:26" x14ac:dyDescent="0.2">
      <c r="A39" s="11">
        <v>10</v>
      </c>
      <c r="B39" s="4">
        <v>984</v>
      </c>
      <c r="C39" s="4">
        <v>3</v>
      </c>
      <c r="D39" s="4">
        <v>3</v>
      </c>
      <c r="E39" s="4">
        <v>1</v>
      </c>
      <c r="F39" s="4">
        <v>3</v>
      </c>
      <c r="G39" t="s">
        <v>42</v>
      </c>
      <c r="H39" s="4">
        <v>3</v>
      </c>
      <c r="I39" s="4">
        <v>21</v>
      </c>
      <c r="J39" s="4">
        <v>5</v>
      </c>
      <c r="K39" s="2">
        <v>14.285714285714199</v>
      </c>
      <c r="L39" s="2">
        <v>60</v>
      </c>
      <c r="M39" s="2">
        <v>0.54678007290400898</v>
      </c>
      <c r="N39" s="1">
        <v>4.4208346258660698E-6</v>
      </c>
      <c r="O39" s="2">
        <v>5.3544957308342598</v>
      </c>
      <c r="P39" s="2">
        <v>109.73333333333299</v>
      </c>
      <c r="Q39" s="3">
        <v>192.800400446303</v>
      </c>
      <c r="R39" s="2">
        <v>1.37</v>
      </c>
      <c r="S39" s="2">
        <v>36.5</v>
      </c>
      <c r="T39" s="2">
        <v>2.38</v>
      </c>
      <c r="V39" s="4">
        <f t="shared" si="3"/>
        <v>17</v>
      </c>
      <c r="W39">
        <f t="shared" si="0"/>
        <v>3</v>
      </c>
      <c r="X39">
        <f t="shared" si="1"/>
        <v>1</v>
      </c>
      <c r="Y39">
        <v>38</v>
      </c>
      <c r="Z39" s="4">
        <f t="shared" si="2"/>
        <v>37</v>
      </c>
    </row>
    <row r="40" spans="1:26" x14ac:dyDescent="0.2">
      <c r="A40" s="11">
        <v>10</v>
      </c>
      <c r="B40" s="4">
        <v>1313</v>
      </c>
      <c r="C40" s="4">
        <v>2</v>
      </c>
      <c r="D40" s="4">
        <v>2</v>
      </c>
      <c r="E40" s="4">
        <v>1</v>
      </c>
      <c r="F40" s="4">
        <v>1</v>
      </c>
      <c r="G40" t="s">
        <v>43</v>
      </c>
      <c r="H40" s="4">
        <v>6</v>
      </c>
      <c r="I40" s="4">
        <v>143</v>
      </c>
      <c r="J40" s="4">
        <v>9</v>
      </c>
      <c r="K40" s="2">
        <v>4.1958041958041896</v>
      </c>
      <c r="L40" s="2">
        <v>66.6666666666666</v>
      </c>
      <c r="M40" s="2">
        <v>4.1666666666666599</v>
      </c>
      <c r="N40" s="1">
        <v>9.0599058280922904E-7</v>
      </c>
      <c r="O40" s="2">
        <v>6.0428763165121904</v>
      </c>
      <c r="P40" s="2">
        <v>16</v>
      </c>
      <c r="Q40" s="3">
        <v>70.107789655845494</v>
      </c>
      <c r="R40" s="2">
        <v>3.86</v>
      </c>
      <c r="S40" s="2">
        <v>20.350000000000001</v>
      </c>
      <c r="T40" s="2">
        <v>1.33</v>
      </c>
      <c r="V40" s="4">
        <f t="shared" si="3"/>
        <v>18</v>
      </c>
      <c r="W40">
        <f t="shared" si="0"/>
        <v>3</v>
      </c>
      <c r="X40">
        <f t="shared" si="1"/>
        <v>1</v>
      </c>
      <c r="Y40">
        <v>39</v>
      </c>
      <c r="Z40" s="4">
        <f t="shared" si="2"/>
        <v>38</v>
      </c>
    </row>
    <row r="41" spans="1:26" x14ac:dyDescent="0.2">
      <c r="A41" s="11">
        <v>10</v>
      </c>
      <c r="B41" s="4">
        <v>1313</v>
      </c>
      <c r="C41" s="4">
        <v>2</v>
      </c>
      <c r="D41" s="4">
        <v>2</v>
      </c>
      <c r="E41" s="4">
        <v>1</v>
      </c>
      <c r="F41" s="4">
        <v>2</v>
      </c>
      <c r="G41" t="s">
        <v>44</v>
      </c>
      <c r="H41" s="4">
        <v>6</v>
      </c>
      <c r="I41" s="4">
        <v>9</v>
      </c>
      <c r="J41" s="4">
        <v>143</v>
      </c>
      <c r="K41" s="2">
        <v>66.6666666666666</v>
      </c>
      <c r="L41" s="2">
        <v>4.1958041958041896</v>
      </c>
      <c r="M41" s="2">
        <v>9.5117311350665798E-2</v>
      </c>
      <c r="N41" s="1">
        <v>9.0599058280922703E-7</v>
      </c>
      <c r="O41" s="2">
        <v>6.0428763165121904</v>
      </c>
      <c r="P41" s="2">
        <v>44.111888111888099</v>
      </c>
      <c r="Q41" s="3">
        <v>70.107789655845494</v>
      </c>
      <c r="R41" s="2">
        <v>0.75</v>
      </c>
      <c r="S41" s="2">
        <v>20.350000000000001</v>
      </c>
      <c r="T41" s="2">
        <v>1.33</v>
      </c>
      <c r="V41" s="4">
        <f t="shared" si="3"/>
        <v>18</v>
      </c>
      <c r="W41">
        <f t="shared" si="0"/>
        <v>3</v>
      </c>
      <c r="X41">
        <f t="shared" si="1"/>
        <v>1</v>
      </c>
      <c r="Y41">
        <v>40</v>
      </c>
      <c r="Z41" s="4">
        <f t="shared" si="2"/>
        <v>39</v>
      </c>
    </row>
    <row r="42" spans="1:26" x14ac:dyDescent="0.2">
      <c r="A42" s="11">
        <v>10</v>
      </c>
      <c r="B42" s="4">
        <v>2355</v>
      </c>
      <c r="C42" s="4">
        <v>2</v>
      </c>
      <c r="D42" s="4">
        <v>2</v>
      </c>
      <c r="E42" s="4">
        <v>1</v>
      </c>
      <c r="F42" s="4">
        <v>1</v>
      </c>
      <c r="G42" t="s">
        <v>45</v>
      </c>
      <c r="H42" s="4">
        <v>4</v>
      </c>
      <c r="I42" s="4">
        <v>8</v>
      </c>
      <c r="J42" s="4">
        <v>41</v>
      </c>
      <c r="K42" s="2">
        <v>50</v>
      </c>
      <c r="L42" s="2">
        <v>9.7560975609756095</v>
      </c>
      <c r="M42" s="2">
        <v>0.12285012285012201</v>
      </c>
      <c r="N42" s="1">
        <v>2.7826092061427098E-6</v>
      </c>
      <c r="O42" s="2">
        <v>5.5555477823591097</v>
      </c>
      <c r="P42" s="2">
        <v>79.414634146341399</v>
      </c>
      <c r="Q42" s="3">
        <v>117.98431522435401</v>
      </c>
      <c r="R42" s="2">
        <v>0.64</v>
      </c>
      <c r="S42" s="2">
        <v>23.96</v>
      </c>
      <c r="T42" s="2">
        <v>1.56</v>
      </c>
      <c r="V42" s="4">
        <f t="shared" si="3"/>
        <v>19</v>
      </c>
      <c r="W42">
        <f t="shared" si="0"/>
        <v>3</v>
      </c>
      <c r="X42">
        <f t="shared" si="1"/>
        <v>1</v>
      </c>
      <c r="Y42">
        <v>41</v>
      </c>
      <c r="Z42" s="4">
        <f t="shared" si="2"/>
        <v>40</v>
      </c>
    </row>
    <row r="43" spans="1:26" x14ac:dyDescent="0.2">
      <c r="A43" s="11">
        <v>10</v>
      </c>
      <c r="B43" s="4">
        <v>2355</v>
      </c>
      <c r="C43" s="4">
        <v>2</v>
      </c>
      <c r="D43" s="4">
        <v>2</v>
      </c>
      <c r="E43" s="4">
        <v>1</v>
      </c>
      <c r="F43" s="4">
        <v>2</v>
      </c>
      <c r="G43" t="s">
        <v>46</v>
      </c>
      <c r="H43" s="4">
        <v>4</v>
      </c>
      <c r="I43" s="4">
        <v>45</v>
      </c>
      <c r="J43" s="4">
        <v>8</v>
      </c>
      <c r="K43" s="2">
        <v>8.8888888888888893</v>
      </c>
      <c r="L43" s="2">
        <v>50</v>
      </c>
      <c r="M43" s="2">
        <v>1.24657950744907</v>
      </c>
      <c r="N43" s="1">
        <v>4.0779345445181397E-6</v>
      </c>
      <c r="O43" s="2">
        <v>5.3895597494217098</v>
      </c>
      <c r="P43" s="2">
        <v>40.109756097560897</v>
      </c>
      <c r="Q43" s="3">
        <v>107.01552749878201</v>
      </c>
      <c r="R43" s="2">
        <v>4.83</v>
      </c>
      <c r="S43" s="2">
        <v>23.96</v>
      </c>
      <c r="T43" s="2">
        <v>1.56</v>
      </c>
      <c r="V43" s="4">
        <f t="shared" si="3"/>
        <v>19</v>
      </c>
      <c r="W43">
        <f t="shared" si="0"/>
        <v>3</v>
      </c>
      <c r="X43">
        <f t="shared" si="1"/>
        <v>1</v>
      </c>
      <c r="Y43">
        <v>42</v>
      </c>
      <c r="Z43" s="4">
        <f t="shared" si="2"/>
        <v>41</v>
      </c>
    </row>
    <row r="44" spans="1:26" x14ac:dyDescent="0.2">
      <c r="A44" s="11">
        <v>11</v>
      </c>
      <c r="B44" s="4">
        <v>245</v>
      </c>
      <c r="C44" s="4">
        <v>2</v>
      </c>
      <c r="D44" s="4">
        <v>2</v>
      </c>
      <c r="E44" s="4">
        <v>1</v>
      </c>
      <c r="F44" s="4">
        <v>1</v>
      </c>
      <c r="G44" t="s">
        <v>47</v>
      </c>
      <c r="H44" s="4">
        <v>4</v>
      </c>
      <c r="I44" s="4">
        <v>8</v>
      </c>
      <c r="J44" s="4">
        <v>40</v>
      </c>
      <c r="K44" s="2">
        <v>50</v>
      </c>
      <c r="L44" s="2">
        <v>10</v>
      </c>
      <c r="M44" s="2">
        <v>0.12281240405280899</v>
      </c>
      <c r="N44" s="1">
        <v>2.5135965444424901E-6</v>
      </c>
      <c r="O44" s="2">
        <v>5.5997044293484102</v>
      </c>
      <c r="P44" s="2">
        <v>81.424999999999997</v>
      </c>
      <c r="Q44" s="3">
        <v>121.069386745771</v>
      </c>
      <c r="R44" s="2">
        <v>3.57</v>
      </c>
      <c r="S44" s="2">
        <v>25.25</v>
      </c>
      <c r="T44" s="2">
        <v>1.65</v>
      </c>
      <c r="V44" s="4">
        <f t="shared" si="3"/>
        <v>20</v>
      </c>
      <c r="W44">
        <f t="shared" si="0"/>
        <v>3</v>
      </c>
      <c r="X44">
        <f t="shared" si="1"/>
        <v>1</v>
      </c>
      <c r="Y44">
        <v>43</v>
      </c>
      <c r="Z44" s="4">
        <f t="shared" si="2"/>
        <v>42</v>
      </c>
    </row>
    <row r="45" spans="1:26" x14ac:dyDescent="0.2">
      <c r="A45" s="11">
        <v>11</v>
      </c>
      <c r="B45" s="4">
        <v>245</v>
      </c>
      <c r="C45" s="4">
        <v>2</v>
      </c>
      <c r="D45" s="4">
        <v>2</v>
      </c>
      <c r="E45" s="4">
        <v>1</v>
      </c>
      <c r="F45" s="4">
        <v>2</v>
      </c>
      <c r="G45" t="s">
        <v>48</v>
      </c>
      <c r="H45" s="4">
        <v>4</v>
      </c>
      <c r="I45" s="4">
        <v>40</v>
      </c>
      <c r="J45" s="4">
        <v>8</v>
      </c>
      <c r="K45" s="2">
        <v>10</v>
      </c>
      <c r="L45" s="2">
        <v>50</v>
      </c>
      <c r="M45" s="2">
        <v>1.0945576162967401</v>
      </c>
      <c r="N45" s="1">
        <v>2.51359654444248E-6</v>
      </c>
      <c r="O45" s="2">
        <v>5.5997044293484102</v>
      </c>
      <c r="P45" s="2">
        <v>45.6805555555555</v>
      </c>
      <c r="Q45" s="3">
        <v>121.069386745771</v>
      </c>
      <c r="R45" s="2">
        <v>1.88</v>
      </c>
      <c r="S45" s="2">
        <v>25.25</v>
      </c>
      <c r="T45" s="2">
        <v>1.65</v>
      </c>
      <c r="V45" s="4">
        <f t="shared" si="3"/>
        <v>20</v>
      </c>
      <c r="W45">
        <f t="shared" si="0"/>
        <v>3</v>
      </c>
      <c r="X45">
        <f t="shared" si="1"/>
        <v>1</v>
      </c>
      <c r="Y45">
        <v>44</v>
      </c>
      <c r="Z45" s="4">
        <f t="shared" si="2"/>
        <v>43</v>
      </c>
    </row>
    <row r="46" spans="1:26" x14ac:dyDescent="0.2">
      <c r="A46" s="11">
        <v>11</v>
      </c>
      <c r="B46" s="4">
        <v>2120</v>
      </c>
      <c r="C46" s="4">
        <v>2</v>
      </c>
      <c r="D46" s="4">
        <v>2</v>
      </c>
      <c r="E46" s="4">
        <v>1</v>
      </c>
      <c r="F46" s="4">
        <v>1</v>
      </c>
      <c r="G46" t="s">
        <v>49</v>
      </c>
      <c r="H46" s="4">
        <v>12</v>
      </c>
      <c r="I46" s="4">
        <v>112</v>
      </c>
      <c r="J46" s="4">
        <v>72</v>
      </c>
      <c r="K46" s="2">
        <v>10.714285714285699</v>
      </c>
      <c r="L46" s="2">
        <v>16.6666666666666</v>
      </c>
      <c r="M46" s="2">
        <v>3.1007751937984498</v>
      </c>
      <c r="N46" s="1">
        <v>7.23511752050857E-6</v>
      </c>
      <c r="O46" s="2">
        <v>5.1405544102126797</v>
      </c>
      <c r="P46" s="2">
        <v>5.375</v>
      </c>
      <c r="Q46" s="3">
        <v>35.470032787343399</v>
      </c>
      <c r="R46" s="2">
        <v>45.4</v>
      </c>
      <c r="S46" s="2">
        <v>22.76</v>
      </c>
      <c r="T46" s="2">
        <v>1.48</v>
      </c>
      <c r="V46" s="4">
        <f t="shared" si="3"/>
        <v>21</v>
      </c>
      <c r="W46">
        <f t="shared" si="0"/>
        <v>3</v>
      </c>
      <c r="X46">
        <f t="shared" si="1"/>
        <v>1</v>
      </c>
      <c r="Y46">
        <v>45</v>
      </c>
      <c r="Z46" s="4">
        <f t="shared" si="2"/>
        <v>44</v>
      </c>
    </row>
    <row r="47" spans="1:26" x14ac:dyDescent="0.2">
      <c r="A47" s="11">
        <v>11</v>
      </c>
      <c r="B47" s="4">
        <v>2120</v>
      </c>
      <c r="C47" s="4">
        <v>2</v>
      </c>
      <c r="D47" s="4">
        <v>2</v>
      </c>
      <c r="E47" s="4">
        <v>1</v>
      </c>
      <c r="F47" s="4">
        <v>2</v>
      </c>
      <c r="G47" t="s">
        <v>50</v>
      </c>
      <c r="H47" s="4">
        <v>12</v>
      </c>
      <c r="I47" s="4">
        <v>74</v>
      </c>
      <c r="J47" s="4">
        <v>112</v>
      </c>
      <c r="K47" s="2">
        <v>16.2162162162162</v>
      </c>
      <c r="L47" s="2">
        <v>10.714285714285699</v>
      </c>
      <c r="M47" s="2">
        <v>1.9466248037676599</v>
      </c>
      <c r="N47" s="1">
        <v>9.7587077115548904E-6</v>
      </c>
      <c r="O47" s="2">
        <v>5.0106076895975997</v>
      </c>
      <c r="P47" s="2">
        <v>5.5040322580645098</v>
      </c>
      <c r="Q47" s="3">
        <v>34.016488225505903</v>
      </c>
      <c r="R47" s="2">
        <v>1.37</v>
      </c>
      <c r="S47" s="2">
        <v>22.76</v>
      </c>
      <c r="T47" s="2">
        <v>1.48</v>
      </c>
      <c r="V47" s="4">
        <f t="shared" si="3"/>
        <v>21</v>
      </c>
      <c r="W47">
        <f t="shared" si="0"/>
        <v>3</v>
      </c>
      <c r="X47">
        <f t="shared" si="1"/>
        <v>1</v>
      </c>
      <c r="Y47">
        <v>46</v>
      </c>
      <c r="Z47" s="4">
        <f t="shared" si="2"/>
        <v>45</v>
      </c>
    </row>
    <row r="48" spans="1:26" x14ac:dyDescent="0.2">
      <c r="A48" s="11">
        <v>12</v>
      </c>
      <c r="B48" s="4">
        <v>1381</v>
      </c>
      <c r="C48" s="4">
        <v>2</v>
      </c>
      <c r="D48" s="4">
        <v>2</v>
      </c>
      <c r="E48" s="4">
        <v>1</v>
      </c>
      <c r="F48" s="4">
        <v>1</v>
      </c>
      <c r="G48" t="s">
        <v>51</v>
      </c>
      <c r="H48" s="4">
        <v>4</v>
      </c>
      <c r="I48" s="4">
        <v>51</v>
      </c>
      <c r="J48" s="4">
        <v>8</v>
      </c>
      <c r="K48" s="2">
        <v>7.8431372549019596</v>
      </c>
      <c r="L48" s="2">
        <v>50</v>
      </c>
      <c r="M48" s="2">
        <v>1.42900577683186</v>
      </c>
      <c r="N48" s="1">
        <v>6.7995129396227203E-6</v>
      </c>
      <c r="O48" s="2">
        <v>5.1675221954128903</v>
      </c>
      <c r="P48" s="2">
        <v>34.989361702127603</v>
      </c>
      <c r="Q48" s="3">
        <v>93.789404063958997</v>
      </c>
      <c r="R48" s="2">
        <v>999</v>
      </c>
      <c r="S48" s="2">
        <v>21.53</v>
      </c>
      <c r="T48" s="2">
        <v>1.4</v>
      </c>
      <c r="V48" s="4">
        <f t="shared" si="3"/>
        <v>22</v>
      </c>
      <c r="W48">
        <f t="shared" si="0"/>
        <v>3</v>
      </c>
      <c r="X48">
        <f t="shared" si="1"/>
        <v>1</v>
      </c>
      <c r="Y48">
        <v>47</v>
      </c>
      <c r="Z48" s="4">
        <f t="shared" si="2"/>
        <v>46</v>
      </c>
    </row>
    <row r="49" spans="1:26" x14ac:dyDescent="0.2">
      <c r="A49" s="11">
        <v>12</v>
      </c>
      <c r="B49" s="4">
        <v>1381</v>
      </c>
      <c r="C49" s="4">
        <v>2</v>
      </c>
      <c r="D49" s="4">
        <v>2</v>
      </c>
      <c r="E49" s="4">
        <v>1</v>
      </c>
      <c r="F49" s="4">
        <v>2</v>
      </c>
      <c r="G49" t="s">
        <v>52</v>
      </c>
      <c r="H49" s="4">
        <v>4</v>
      </c>
      <c r="I49" s="4">
        <v>8</v>
      </c>
      <c r="J49" s="4">
        <v>51</v>
      </c>
      <c r="K49" s="2">
        <v>50</v>
      </c>
      <c r="L49" s="2">
        <v>7.8431372549019596</v>
      </c>
      <c r="M49" s="2">
        <v>0.123228589032655</v>
      </c>
      <c r="N49" s="1">
        <v>6.7995129396227203E-6</v>
      </c>
      <c r="O49" s="2">
        <v>5.1675221954128903</v>
      </c>
      <c r="P49" s="2">
        <v>63.647058823529399</v>
      </c>
      <c r="Q49" s="3">
        <v>93.789404063958997</v>
      </c>
      <c r="R49" s="2">
        <v>0.43</v>
      </c>
      <c r="S49" s="2">
        <v>21.53</v>
      </c>
      <c r="T49" s="2">
        <v>1.4</v>
      </c>
      <c r="V49" s="4">
        <f t="shared" si="3"/>
        <v>22</v>
      </c>
      <c r="W49">
        <f t="shared" si="0"/>
        <v>3</v>
      </c>
      <c r="X49">
        <f t="shared" si="1"/>
        <v>1</v>
      </c>
      <c r="Y49">
        <v>48</v>
      </c>
      <c r="Z49" s="4">
        <f t="shared" si="2"/>
        <v>47</v>
      </c>
    </row>
    <row r="50" spans="1:26" x14ac:dyDescent="0.2">
      <c r="A50" s="11">
        <v>12</v>
      </c>
      <c r="B50" s="4">
        <v>1495</v>
      </c>
      <c r="C50" s="4">
        <v>2</v>
      </c>
      <c r="D50" s="4">
        <v>2</v>
      </c>
      <c r="E50" s="4">
        <v>1</v>
      </c>
      <c r="F50" s="4">
        <v>1</v>
      </c>
      <c r="G50" t="s">
        <v>53</v>
      </c>
      <c r="H50" s="4">
        <v>4</v>
      </c>
      <c r="I50" s="4">
        <v>29</v>
      </c>
      <c r="J50" s="4">
        <v>13</v>
      </c>
      <c r="K50" s="2">
        <v>13.793103448275801</v>
      </c>
      <c r="L50" s="2">
        <v>30.769230769230699</v>
      </c>
      <c r="M50" s="2">
        <v>0.76126674786845305</v>
      </c>
      <c r="N50" s="1">
        <v>6.5423350704454601E-6</v>
      </c>
      <c r="O50" s="2">
        <v>5.1842672169339004</v>
      </c>
      <c r="P50" s="2">
        <v>40.4184615384615</v>
      </c>
      <c r="Q50" s="3">
        <v>101.53489976595</v>
      </c>
      <c r="R50" s="2">
        <v>5.28</v>
      </c>
      <c r="S50" s="2">
        <v>22.65</v>
      </c>
      <c r="T50" s="2">
        <v>1.48</v>
      </c>
      <c r="V50" s="4">
        <f t="shared" si="3"/>
        <v>23</v>
      </c>
      <c r="W50">
        <f t="shared" si="0"/>
        <v>3</v>
      </c>
      <c r="X50">
        <f t="shared" si="1"/>
        <v>1</v>
      </c>
      <c r="Y50">
        <v>49</v>
      </c>
      <c r="Z50" s="4">
        <f t="shared" si="2"/>
        <v>48</v>
      </c>
    </row>
    <row r="51" spans="1:26" x14ac:dyDescent="0.2">
      <c r="A51" s="11">
        <v>12</v>
      </c>
      <c r="B51" s="4">
        <v>1495</v>
      </c>
      <c r="C51" s="4">
        <v>2</v>
      </c>
      <c r="D51" s="4">
        <v>2</v>
      </c>
      <c r="E51" s="4">
        <v>1</v>
      </c>
      <c r="F51" s="4">
        <v>2</v>
      </c>
      <c r="G51" t="s">
        <v>54</v>
      </c>
      <c r="H51" s="4">
        <v>4</v>
      </c>
      <c r="I51" s="4">
        <v>14</v>
      </c>
      <c r="J51" s="4">
        <v>28</v>
      </c>
      <c r="K51" s="2">
        <v>28.571428571428498</v>
      </c>
      <c r="L51" s="2">
        <v>14.285714285714199</v>
      </c>
      <c r="M51" s="2">
        <v>0.30590394616090499</v>
      </c>
      <c r="N51" s="1">
        <v>7.8671491967271005E-6</v>
      </c>
      <c r="O51" s="2">
        <v>5.1041826135653396</v>
      </c>
      <c r="P51" s="2">
        <v>46.699999999999903</v>
      </c>
      <c r="Q51" s="3">
        <v>97.387235729809106</v>
      </c>
      <c r="R51" s="2">
        <v>9.2100000000000009</v>
      </c>
      <c r="S51" s="2">
        <v>22.65</v>
      </c>
      <c r="T51" s="2">
        <v>1.48</v>
      </c>
      <c r="V51" s="4">
        <f t="shared" si="3"/>
        <v>23</v>
      </c>
      <c r="W51">
        <f t="shared" si="0"/>
        <v>3</v>
      </c>
      <c r="X51">
        <f t="shared" si="1"/>
        <v>1</v>
      </c>
      <c r="Y51">
        <v>50</v>
      </c>
      <c r="Z51" s="4">
        <f t="shared" si="2"/>
        <v>49</v>
      </c>
    </row>
    <row r="52" spans="1:26" x14ac:dyDescent="0.2">
      <c r="A52" s="11">
        <v>13</v>
      </c>
      <c r="B52" s="4">
        <v>1083</v>
      </c>
      <c r="C52" s="4">
        <v>2</v>
      </c>
      <c r="D52" s="4">
        <v>2</v>
      </c>
      <c r="E52" s="4">
        <v>1</v>
      </c>
      <c r="F52" s="4">
        <v>1</v>
      </c>
      <c r="G52" t="s">
        <v>55</v>
      </c>
      <c r="H52" s="4">
        <v>4</v>
      </c>
      <c r="I52" s="4">
        <v>22</v>
      </c>
      <c r="J52" s="4">
        <v>17</v>
      </c>
      <c r="K52" s="2">
        <v>18.181818181818102</v>
      </c>
      <c r="L52" s="2">
        <v>23.529411764705799</v>
      </c>
      <c r="M52" s="2">
        <v>0.54878048780487798</v>
      </c>
      <c r="N52" s="1">
        <v>6.69259077899996E-6</v>
      </c>
      <c r="O52" s="2">
        <v>5.1744057292853798</v>
      </c>
      <c r="P52" s="2">
        <v>42.875816993463999</v>
      </c>
      <c r="Q52" s="3">
        <v>102.31010931509</v>
      </c>
      <c r="R52" s="2">
        <v>0.64</v>
      </c>
      <c r="S52" s="2">
        <v>18</v>
      </c>
      <c r="T52" s="2">
        <v>1.17</v>
      </c>
      <c r="V52" s="4">
        <f t="shared" si="3"/>
        <v>24</v>
      </c>
      <c r="W52">
        <f t="shared" si="0"/>
        <v>3</v>
      </c>
      <c r="X52">
        <f t="shared" si="1"/>
        <v>1</v>
      </c>
      <c r="Y52">
        <v>51</v>
      </c>
      <c r="Z52" s="4">
        <f t="shared" si="2"/>
        <v>50</v>
      </c>
    </row>
    <row r="53" spans="1:26" x14ac:dyDescent="0.2">
      <c r="A53" s="11">
        <v>13</v>
      </c>
      <c r="B53" s="4">
        <v>1083</v>
      </c>
      <c r="C53" s="4">
        <v>2</v>
      </c>
      <c r="D53" s="4">
        <v>2</v>
      </c>
      <c r="E53" s="4">
        <v>1</v>
      </c>
      <c r="F53" s="4">
        <v>2</v>
      </c>
      <c r="G53" t="s">
        <v>56</v>
      </c>
      <c r="H53" s="4">
        <v>4</v>
      </c>
      <c r="I53" s="4">
        <v>17</v>
      </c>
      <c r="J53" s="4">
        <v>22</v>
      </c>
      <c r="K53" s="2">
        <v>23.529411764705799</v>
      </c>
      <c r="L53" s="2">
        <v>18.181818181818102</v>
      </c>
      <c r="M53" s="2">
        <v>0.39694656488549601</v>
      </c>
      <c r="N53" s="1">
        <v>6.6925907789999803E-6</v>
      </c>
      <c r="O53" s="2">
        <v>5.1744057292853798</v>
      </c>
      <c r="P53" s="2">
        <v>45.8041958041958</v>
      </c>
      <c r="Q53" s="3">
        <v>102.31010931509</v>
      </c>
      <c r="R53" s="2">
        <v>2.21</v>
      </c>
      <c r="S53" s="2">
        <v>18</v>
      </c>
      <c r="T53" s="2">
        <v>1.17</v>
      </c>
      <c r="V53" s="4">
        <f t="shared" si="3"/>
        <v>24</v>
      </c>
      <c r="W53">
        <f t="shared" si="0"/>
        <v>3</v>
      </c>
      <c r="X53">
        <f t="shared" si="1"/>
        <v>1</v>
      </c>
      <c r="Y53">
        <v>52</v>
      </c>
      <c r="Z53" s="4">
        <f t="shared" si="2"/>
        <v>51</v>
      </c>
    </row>
    <row r="54" spans="1:26" x14ac:dyDescent="0.2">
      <c r="A54" s="11">
        <v>14</v>
      </c>
      <c r="B54" s="4">
        <v>2444</v>
      </c>
      <c r="C54" s="4">
        <v>2</v>
      </c>
      <c r="D54" s="4">
        <v>2</v>
      </c>
      <c r="E54" s="4">
        <v>1</v>
      </c>
      <c r="F54" s="4">
        <v>1</v>
      </c>
      <c r="G54" t="s">
        <v>57</v>
      </c>
      <c r="H54" s="4">
        <v>4</v>
      </c>
      <c r="I54" s="4">
        <v>35</v>
      </c>
      <c r="J54" s="4">
        <v>12</v>
      </c>
      <c r="K54" s="2">
        <v>11.4285714285714</v>
      </c>
      <c r="L54" s="2">
        <v>33.3333333333333</v>
      </c>
      <c r="M54" s="2">
        <v>0.94368340943683404</v>
      </c>
      <c r="N54" s="1">
        <v>9.9289215262140904E-6</v>
      </c>
      <c r="O54" s="2">
        <v>5.0030979217614604</v>
      </c>
      <c r="P54" s="2">
        <v>35.322580645161203</v>
      </c>
      <c r="Q54" s="3">
        <v>90.577607369627799</v>
      </c>
      <c r="R54" s="2">
        <v>2.04</v>
      </c>
      <c r="S54" s="2">
        <v>18.28</v>
      </c>
      <c r="T54" s="2">
        <v>1.19</v>
      </c>
      <c r="V54" s="4">
        <f t="shared" si="3"/>
        <v>25</v>
      </c>
      <c r="W54">
        <f t="shared" si="0"/>
        <v>3</v>
      </c>
      <c r="X54">
        <f t="shared" si="1"/>
        <v>1</v>
      </c>
      <c r="Y54">
        <v>53</v>
      </c>
      <c r="Z54" s="4">
        <f t="shared" si="2"/>
        <v>52</v>
      </c>
    </row>
    <row r="55" spans="1:26" x14ac:dyDescent="0.2">
      <c r="A55" s="11">
        <v>14</v>
      </c>
      <c r="B55" s="4">
        <v>2444</v>
      </c>
      <c r="C55" s="4">
        <v>2</v>
      </c>
      <c r="D55" s="4">
        <v>2</v>
      </c>
      <c r="E55" s="4">
        <v>1</v>
      </c>
      <c r="F55" s="4">
        <v>2</v>
      </c>
      <c r="G55" t="s">
        <v>58</v>
      </c>
      <c r="H55" s="4">
        <v>4</v>
      </c>
      <c r="I55" s="4">
        <v>12</v>
      </c>
      <c r="J55" s="4">
        <v>35</v>
      </c>
      <c r="K55" s="2">
        <v>33.3333333333333</v>
      </c>
      <c r="L55" s="2">
        <v>11.4285714285714</v>
      </c>
      <c r="M55" s="2">
        <v>0.24524831391784099</v>
      </c>
      <c r="N55" s="1">
        <v>9.9289215262140802E-6</v>
      </c>
      <c r="O55" s="2">
        <v>5.0030979217614604</v>
      </c>
      <c r="P55" s="2">
        <v>46.6</v>
      </c>
      <c r="Q55" s="3">
        <v>90.577607369627799</v>
      </c>
      <c r="R55" s="2">
        <v>0.38</v>
      </c>
      <c r="S55" s="2">
        <v>18.28</v>
      </c>
      <c r="T55" s="2">
        <v>1.19</v>
      </c>
      <c r="V55" s="4">
        <f t="shared" si="3"/>
        <v>25</v>
      </c>
      <c r="W55">
        <f t="shared" si="0"/>
        <v>3</v>
      </c>
      <c r="X55">
        <f t="shared" si="1"/>
        <v>1</v>
      </c>
      <c r="Y55">
        <v>54</v>
      </c>
      <c r="Z55" s="4">
        <f t="shared" si="2"/>
        <v>53</v>
      </c>
    </row>
    <row r="56" spans="1:26" x14ac:dyDescent="0.2">
      <c r="A56" s="11">
        <v>15</v>
      </c>
      <c r="B56" s="4">
        <v>1711</v>
      </c>
      <c r="C56" s="4">
        <v>2</v>
      </c>
      <c r="D56" s="4">
        <v>2</v>
      </c>
      <c r="E56" s="4">
        <v>1</v>
      </c>
      <c r="F56" s="4">
        <v>1</v>
      </c>
      <c r="G56" t="s">
        <v>59</v>
      </c>
      <c r="H56" s="4">
        <v>4</v>
      </c>
      <c r="I56" s="4">
        <v>18</v>
      </c>
      <c r="J56" s="4">
        <v>22</v>
      </c>
      <c r="K56" s="2">
        <v>22.2222222222222</v>
      </c>
      <c r="L56" s="2">
        <v>18.181818181818102</v>
      </c>
      <c r="M56" s="2">
        <v>0.42748091603053401</v>
      </c>
      <c r="N56" s="1">
        <v>8.5670983709299705E-6</v>
      </c>
      <c r="O56" s="2">
        <v>5.0671662463235201</v>
      </c>
      <c r="P56" s="2">
        <v>42.5324675324675</v>
      </c>
      <c r="Q56" s="3">
        <v>96.2751657589492</v>
      </c>
      <c r="R56" s="2">
        <v>1.45</v>
      </c>
      <c r="S56" s="2">
        <v>25.03</v>
      </c>
      <c r="T56" s="2">
        <v>1.63</v>
      </c>
      <c r="V56" s="4">
        <f t="shared" si="3"/>
        <v>26</v>
      </c>
      <c r="W56">
        <f t="shared" si="0"/>
        <v>3</v>
      </c>
      <c r="X56">
        <f t="shared" si="1"/>
        <v>1</v>
      </c>
      <c r="Y56">
        <v>55</v>
      </c>
      <c r="Z56" s="4">
        <f t="shared" si="2"/>
        <v>54</v>
      </c>
    </row>
    <row r="57" spans="1:26" x14ac:dyDescent="0.2">
      <c r="A57" s="11">
        <v>15</v>
      </c>
      <c r="B57" s="4">
        <v>1711</v>
      </c>
      <c r="C57" s="4">
        <v>2</v>
      </c>
      <c r="D57" s="4">
        <v>2</v>
      </c>
      <c r="E57" s="4">
        <v>1</v>
      </c>
      <c r="F57" s="4">
        <v>2</v>
      </c>
      <c r="G57" t="s">
        <v>60</v>
      </c>
      <c r="H57" s="4">
        <v>4</v>
      </c>
      <c r="I57" s="4">
        <v>22</v>
      </c>
      <c r="J57" s="4">
        <v>17</v>
      </c>
      <c r="K57" s="2">
        <v>18.181818181818102</v>
      </c>
      <c r="L57" s="2">
        <v>23.529411764705799</v>
      </c>
      <c r="M57" s="2">
        <v>0.54878048780487798</v>
      </c>
      <c r="N57" s="1">
        <v>6.69259077899996E-6</v>
      </c>
      <c r="O57" s="2">
        <v>5.1744057292853798</v>
      </c>
      <c r="P57" s="2">
        <v>42.875816993463999</v>
      </c>
      <c r="Q57" s="3">
        <v>102.31010931509</v>
      </c>
      <c r="R57" s="2">
        <v>0.48</v>
      </c>
      <c r="S57" s="2">
        <v>25.03</v>
      </c>
      <c r="T57" s="2">
        <v>1.63</v>
      </c>
      <c r="V57" s="4">
        <f t="shared" si="3"/>
        <v>26</v>
      </c>
      <c r="W57">
        <f t="shared" si="0"/>
        <v>3</v>
      </c>
      <c r="X57">
        <f t="shared" si="1"/>
        <v>1</v>
      </c>
      <c r="Y57">
        <v>56</v>
      </c>
      <c r="Z57" s="4">
        <f t="shared" si="2"/>
        <v>55</v>
      </c>
    </row>
    <row r="58" spans="1:26" x14ac:dyDescent="0.2">
      <c r="A58" s="11">
        <v>15</v>
      </c>
      <c r="B58" s="4">
        <v>1929</v>
      </c>
      <c r="C58" s="4">
        <v>2</v>
      </c>
      <c r="D58" s="4">
        <v>2</v>
      </c>
      <c r="E58" s="4">
        <v>1</v>
      </c>
      <c r="F58" s="4">
        <v>1</v>
      </c>
      <c r="G58" t="s">
        <v>61</v>
      </c>
      <c r="H58" s="4">
        <v>5</v>
      </c>
      <c r="I58" s="4">
        <v>9</v>
      </c>
      <c r="J58" s="4">
        <v>67</v>
      </c>
      <c r="K58" s="2">
        <v>55.5555555555555</v>
      </c>
      <c r="L58" s="2">
        <v>7.4626865671641696</v>
      </c>
      <c r="M58" s="2">
        <v>0.123839009287925</v>
      </c>
      <c r="N58" s="1">
        <v>7.0583616563565501E-7</v>
      </c>
      <c r="O58" s="2">
        <v>6.1512960930239204</v>
      </c>
      <c r="P58" s="2">
        <v>60.261194029850699</v>
      </c>
      <c r="Q58" s="3">
        <v>104.30153865630599</v>
      </c>
      <c r="R58" s="2">
        <v>0.46</v>
      </c>
      <c r="S58" s="2">
        <v>23.18</v>
      </c>
      <c r="T58" s="2">
        <v>1.51</v>
      </c>
      <c r="V58" s="4">
        <f t="shared" si="3"/>
        <v>27</v>
      </c>
      <c r="W58">
        <f t="shared" si="0"/>
        <v>3</v>
      </c>
      <c r="X58">
        <f t="shared" si="1"/>
        <v>1</v>
      </c>
      <c r="Y58">
        <v>57</v>
      </c>
      <c r="Z58" s="4">
        <f t="shared" si="2"/>
        <v>56</v>
      </c>
    </row>
    <row r="59" spans="1:26" x14ac:dyDescent="0.2">
      <c r="A59" s="11">
        <v>15</v>
      </c>
      <c r="B59" s="4">
        <v>1929</v>
      </c>
      <c r="C59" s="4">
        <v>2</v>
      </c>
      <c r="D59" s="4">
        <v>2</v>
      </c>
      <c r="E59" s="4">
        <v>1</v>
      </c>
      <c r="F59" s="4">
        <v>2</v>
      </c>
      <c r="G59" t="s">
        <v>62</v>
      </c>
      <c r="H59" s="4">
        <v>5</v>
      </c>
      <c r="I59" s="4">
        <v>67</v>
      </c>
      <c r="J59" s="4">
        <v>9</v>
      </c>
      <c r="K59" s="2">
        <v>7.4626865671641696</v>
      </c>
      <c r="L59" s="2">
        <v>55.5555555555555</v>
      </c>
      <c r="M59" s="2">
        <v>1.8856447688564399</v>
      </c>
      <c r="N59" s="1">
        <v>7.0583616563565501E-7</v>
      </c>
      <c r="O59" s="2">
        <v>6.1512960930239204</v>
      </c>
      <c r="P59" s="2">
        <v>29.462365591397798</v>
      </c>
      <c r="Q59" s="3">
        <v>104.30153865630599</v>
      </c>
      <c r="R59" s="2">
        <v>11.48</v>
      </c>
      <c r="S59" s="2">
        <v>23.18</v>
      </c>
      <c r="T59" s="2">
        <v>1.51</v>
      </c>
      <c r="V59" s="4">
        <f t="shared" si="3"/>
        <v>27</v>
      </c>
      <c r="W59">
        <f t="shared" si="0"/>
        <v>3</v>
      </c>
      <c r="X59">
        <f t="shared" si="1"/>
        <v>1</v>
      </c>
      <c r="Y59">
        <v>58</v>
      </c>
      <c r="Z59" s="4">
        <f t="shared" si="2"/>
        <v>57</v>
      </c>
    </row>
    <row r="60" spans="1:26" x14ac:dyDescent="0.2">
      <c r="A60" s="11">
        <v>15</v>
      </c>
      <c r="B60" s="4">
        <v>2027</v>
      </c>
      <c r="C60" s="4">
        <v>2</v>
      </c>
      <c r="D60" s="4">
        <v>2</v>
      </c>
      <c r="E60" s="4">
        <v>1</v>
      </c>
      <c r="F60" s="4">
        <v>1</v>
      </c>
      <c r="G60" t="s">
        <v>63</v>
      </c>
      <c r="H60" s="4">
        <v>4</v>
      </c>
      <c r="I60" s="4">
        <v>44</v>
      </c>
      <c r="J60" s="4">
        <v>7</v>
      </c>
      <c r="K60" s="2">
        <v>9.0909090909090899</v>
      </c>
      <c r="L60" s="2">
        <v>57.142857142857103</v>
      </c>
      <c r="M60" s="2">
        <v>1.21580547112462</v>
      </c>
      <c r="N60" s="1">
        <v>1.87778715494418E-6</v>
      </c>
      <c r="O60" s="2">
        <v>5.7263536360698399</v>
      </c>
      <c r="P60" s="2">
        <v>47</v>
      </c>
      <c r="Q60" s="3">
        <v>126.17223387680799</v>
      </c>
      <c r="R60" s="2">
        <v>27.67</v>
      </c>
      <c r="S60" s="2">
        <v>22</v>
      </c>
      <c r="T60" s="2">
        <v>1.43</v>
      </c>
      <c r="V60" s="4">
        <f t="shared" si="3"/>
        <v>28</v>
      </c>
      <c r="W60">
        <f t="shared" si="0"/>
        <v>3</v>
      </c>
      <c r="X60">
        <f t="shared" si="1"/>
        <v>1</v>
      </c>
      <c r="Y60">
        <v>59</v>
      </c>
      <c r="Z60" s="4">
        <f t="shared" si="2"/>
        <v>58</v>
      </c>
    </row>
    <row r="61" spans="1:26" x14ac:dyDescent="0.2">
      <c r="A61" s="11">
        <v>15</v>
      </c>
      <c r="B61" s="4">
        <v>2027</v>
      </c>
      <c r="C61" s="4">
        <v>2</v>
      </c>
      <c r="D61" s="4">
        <v>2</v>
      </c>
      <c r="E61" s="4">
        <v>1</v>
      </c>
      <c r="F61" s="4">
        <v>2</v>
      </c>
      <c r="G61" t="s">
        <v>64</v>
      </c>
      <c r="H61" s="4">
        <v>4</v>
      </c>
      <c r="I61" s="4">
        <v>7</v>
      </c>
      <c r="J61" s="4">
        <v>42</v>
      </c>
      <c r="K61" s="2">
        <v>57.142857142857103</v>
      </c>
      <c r="L61" s="2">
        <v>9.5238095238095202</v>
      </c>
      <c r="M61" s="2">
        <v>9.2165898617511496E-2</v>
      </c>
      <c r="N61" s="1">
        <v>1.5505600023108501E-6</v>
      </c>
      <c r="O61" s="2">
        <v>5.8095114231265503</v>
      </c>
      <c r="P61" s="2">
        <v>103.333333333333</v>
      </c>
      <c r="Q61" s="3">
        <v>132.42874571036299</v>
      </c>
      <c r="R61" s="2">
        <v>0.89</v>
      </c>
      <c r="S61" s="2">
        <v>22</v>
      </c>
      <c r="T61" s="2">
        <v>1.43</v>
      </c>
      <c r="V61" s="4">
        <f t="shared" si="3"/>
        <v>28</v>
      </c>
      <c r="W61">
        <f t="shared" si="0"/>
        <v>3</v>
      </c>
      <c r="X61">
        <f t="shared" si="1"/>
        <v>1</v>
      </c>
      <c r="Y61">
        <v>60</v>
      </c>
      <c r="Z61" s="4">
        <f t="shared" si="2"/>
        <v>59</v>
      </c>
    </row>
    <row r="62" spans="1:26" x14ac:dyDescent="0.2">
      <c r="A62" s="11">
        <v>16</v>
      </c>
      <c r="B62" s="4">
        <v>313</v>
      </c>
      <c r="C62" s="4">
        <v>2</v>
      </c>
      <c r="D62" s="4">
        <v>2</v>
      </c>
      <c r="E62" s="4">
        <v>1</v>
      </c>
      <c r="F62" s="4">
        <v>1</v>
      </c>
      <c r="G62" t="s">
        <v>65</v>
      </c>
      <c r="H62" s="4">
        <v>9</v>
      </c>
      <c r="I62" s="4">
        <v>27</v>
      </c>
      <c r="J62" s="4">
        <v>170</v>
      </c>
      <c r="K62" s="2">
        <v>33.3333333333333</v>
      </c>
      <c r="L62" s="2">
        <v>5.2941176470588198</v>
      </c>
      <c r="M62" s="2">
        <v>0.57563159577870104</v>
      </c>
      <c r="N62" s="1">
        <v>8.7580222189627908E-6</v>
      </c>
      <c r="O62" s="2">
        <v>5.0575939573443103</v>
      </c>
      <c r="P62" s="2">
        <v>9.1970588235294102</v>
      </c>
      <c r="Q62" s="3">
        <v>38.578204537475202</v>
      </c>
      <c r="R62" s="2">
        <v>4.5599999999999996</v>
      </c>
      <c r="S62" s="2">
        <v>20.88</v>
      </c>
      <c r="T62" s="2">
        <v>1.36</v>
      </c>
      <c r="V62" s="4">
        <f t="shared" si="3"/>
        <v>29</v>
      </c>
      <c r="W62">
        <f t="shared" si="0"/>
        <v>3</v>
      </c>
      <c r="X62">
        <f t="shared" si="1"/>
        <v>1</v>
      </c>
      <c r="Y62">
        <v>61</v>
      </c>
      <c r="Z62" s="4">
        <f t="shared" si="2"/>
        <v>60</v>
      </c>
    </row>
    <row r="63" spans="1:26" x14ac:dyDescent="0.2">
      <c r="A63" s="11">
        <v>16</v>
      </c>
      <c r="B63" s="4">
        <v>313</v>
      </c>
      <c r="C63" s="4">
        <v>2</v>
      </c>
      <c r="D63" s="4">
        <v>2</v>
      </c>
      <c r="E63" s="4">
        <v>1</v>
      </c>
      <c r="F63" s="4">
        <v>2</v>
      </c>
      <c r="G63" t="s">
        <v>66</v>
      </c>
      <c r="H63" s="4">
        <v>9</v>
      </c>
      <c r="I63" s="4">
        <v>173</v>
      </c>
      <c r="J63" s="4">
        <v>26</v>
      </c>
      <c r="K63" s="2">
        <v>5.2023121387283204</v>
      </c>
      <c r="L63" s="2">
        <v>34.615384615384599</v>
      </c>
      <c r="M63" s="2">
        <v>5.0137572607765204</v>
      </c>
      <c r="N63" s="1">
        <v>7.0718108203975596E-6</v>
      </c>
      <c r="O63" s="2">
        <v>5.1504693657489904</v>
      </c>
      <c r="P63" s="2">
        <v>6.9040806754221302</v>
      </c>
      <c r="Q63" s="3">
        <v>39.702931282831102</v>
      </c>
      <c r="R63" s="2">
        <v>12.04</v>
      </c>
      <c r="S63" s="2">
        <v>20.88</v>
      </c>
      <c r="T63" s="2">
        <v>1.36</v>
      </c>
      <c r="V63" s="4">
        <f t="shared" si="3"/>
        <v>29</v>
      </c>
      <c r="W63">
        <f t="shared" si="0"/>
        <v>3</v>
      </c>
      <c r="X63">
        <f t="shared" si="1"/>
        <v>1</v>
      </c>
      <c r="Y63">
        <v>62</v>
      </c>
      <c r="Z63" s="4">
        <f t="shared" si="2"/>
        <v>61</v>
      </c>
    </row>
    <row r="64" spans="1:26" x14ac:dyDescent="0.2">
      <c r="A64" s="11">
        <v>16</v>
      </c>
      <c r="B64" s="4">
        <v>1221</v>
      </c>
      <c r="C64" s="4">
        <v>2</v>
      </c>
      <c r="D64" s="4">
        <v>2</v>
      </c>
      <c r="E64" s="4">
        <v>1</v>
      </c>
      <c r="F64" s="4">
        <v>1</v>
      </c>
      <c r="G64" t="s">
        <v>67</v>
      </c>
      <c r="H64" s="4">
        <v>4</v>
      </c>
      <c r="I64" s="4">
        <v>22</v>
      </c>
      <c r="J64" s="4">
        <v>13</v>
      </c>
      <c r="K64" s="2">
        <v>18.181818181818102</v>
      </c>
      <c r="L64" s="2">
        <v>30.769230769230699</v>
      </c>
      <c r="M64" s="2">
        <v>0.54811205846528599</v>
      </c>
      <c r="N64" s="1">
        <v>2.0461714851369299E-6</v>
      </c>
      <c r="O64" s="2">
        <v>5.6890579718321597</v>
      </c>
      <c r="P64" s="2">
        <v>56.136752136752101</v>
      </c>
      <c r="Q64" s="3">
        <v>135.741827486966</v>
      </c>
      <c r="R64" s="2">
        <v>2.66</v>
      </c>
      <c r="S64" s="2">
        <v>19.29</v>
      </c>
      <c r="T64" s="2">
        <v>1.26</v>
      </c>
      <c r="V64" s="4">
        <f t="shared" si="3"/>
        <v>30</v>
      </c>
      <c r="W64">
        <f t="shared" si="0"/>
        <v>3</v>
      </c>
      <c r="X64">
        <f t="shared" si="1"/>
        <v>1</v>
      </c>
      <c r="Y64">
        <v>63</v>
      </c>
      <c r="Z64" s="4">
        <f t="shared" si="2"/>
        <v>62</v>
      </c>
    </row>
    <row r="65" spans="1:26" x14ac:dyDescent="0.2">
      <c r="A65" s="11">
        <v>16</v>
      </c>
      <c r="B65" s="4">
        <v>1221</v>
      </c>
      <c r="C65" s="4">
        <v>2</v>
      </c>
      <c r="D65" s="4">
        <v>2</v>
      </c>
      <c r="E65" s="4">
        <v>1</v>
      </c>
      <c r="F65" s="4">
        <v>2</v>
      </c>
      <c r="G65" t="s">
        <v>68</v>
      </c>
      <c r="H65" s="4">
        <v>4</v>
      </c>
      <c r="I65" s="4">
        <v>13</v>
      </c>
      <c r="J65" s="4">
        <v>22</v>
      </c>
      <c r="K65" s="2">
        <v>30.769230769230699</v>
      </c>
      <c r="L65" s="2">
        <v>18.181818181818102</v>
      </c>
      <c r="M65" s="2">
        <v>0.27480916030534303</v>
      </c>
      <c r="N65" s="1">
        <v>2.0461714851369299E-6</v>
      </c>
      <c r="O65" s="2">
        <v>5.6890579718321597</v>
      </c>
      <c r="P65" s="2">
        <v>66.161616161616095</v>
      </c>
      <c r="Q65" s="3">
        <v>135.741827486966</v>
      </c>
      <c r="R65" s="2">
        <v>24.35</v>
      </c>
      <c r="S65" s="2">
        <v>19.29</v>
      </c>
      <c r="T65" s="2">
        <v>1.26</v>
      </c>
      <c r="V65" s="4">
        <f t="shared" si="3"/>
        <v>30</v>
      </c>
      <c r="W65">
        <f t="shared" si="0"/>
        <v>3</v>
      </c>
      <c r="X65">
        <f t="shared" si="1"/>
        <v>1</v>
      </c>
      <c r="Y65">
        <v>64</v>
      </c>
      <c r="Z65" s="4">
        <f t="shared" si="2"/>
        <v>63</v>
      </c>
    </row>
    <row r="66" spans="1:26" x14ac:dyDescent="0.2">
      <c r="A66" s="11">
        <v>16</v>
      </c>
      <c r="B66" s="4">
        <v>1911</v>
      </c>
      <c r="C66" s="4">
        <v>3</v>
      </c>
      <c r="D66" s="4">
        <v>2</v>
      </c>
      <c r="E66" s="4">
        <v>1</v>
      </c>
      <c r="F66" s="4">
        <v>1</v>
      </c>
      <c r="G66" t="s">
        <v>69</v>
      </c>
      <c r="H66" s="4">
        <v>5</v>
      </c>
      <c r="I66" s="4">
        <v>17</v>
      </c>
      <c r="J66" s="4">
        <v>15</v>
      </c>
      <c r="K66" s="2">
        <v>29.411764705882302</v>
      </c>
      <c r="L66" s="2">
        <v>33.3333333333333</v>
      </c>
      <c r="M66" s="2">
        <v>0.36563071297989003</v>
      </c>
      <c r="N66" s="1">
        <v>1.1138255496523801E-8</v>
      </c>
      <c r="O66" s="2">
        <v>7.9531828242036804</v>
      </c>
      <c r="P66" s="2">
        <v>91.1666666666666</v>
      </c>
      <c r="Q66" s="3">
        <v>255.37051402147199</v>
      </c>
      <c r="R66" s="2">
        <v>0.1</v>
      </c>
      <c r="S66" s="2">
        <v>24.52</v>
      </c>
      <c r="T66" s="2">
        <v>1.6</v>
      </c>
      <c r="V66" s="4">
        <f t="shared" si="3"/>
        <v>31</v>
      </c>
      <c r="W66">
        <f t="shared" si="0"/>
        <v>3</v>
      </c>
      <c r="X66">
        <f t="shared" si="1"/>
        <v>1</v>
      </c>
      <c r="Y66">
        <v>65</v>
      </c>
      <c r="Z66" s="4">
        <f t="shared" si="2"/>
        <v>64</v>
      </c>
    </row>
    <row r="67" spans="1:26" x14ac:dyDescent="0.2">
      <c r="A67" s="11">
        <v>16</v>
      </c>
      <c r="B67" s="4">
        <v>1911</v>
      </c>
      <c r="C67" s="4">
        <v>3</v>
      </c>
      <c r="D67" s="4">
        <v>2</v>
      </c>
      <c r="E67" s="4">
        <v>2</v>
      </c>
      <c r="F67" s="4">
        <v>2</v>
      </c>
      <c r="G67" t="s">
        <v>70</v>
      </c>
      <c r="H67" s="4">
        <v>2</v>
      </c>
      <c r="I67" s="4">
        <v>10</v>
      </c>
      <c r="J67" s="4">
        <v>17</v>
      </c>
      <c r="K67" s="2">
        <v>20</v>
      </c>
      <c r="L67" s="2">
        <v>11.764705882352899</v>
      </c>
      <c r="M67" s="2">
        <v>0.24390243902438999</v>
      </c>
      <c r="N67" s="1">
        <v>2.19862222143963E-3</v>
      </c>
      <c r="O67" s="2">
        <v>2.6578493869369599</v>
      </c>
      <c r="P67" s="2">
        <v>48.235294117647001</v>
      </c>
      <c r="Q67" s="3">
        <v>41.023638523967698</v>
      </c>
      <c r="R67" s="2">
        <v>0.6</v>
      </c>
      <c r="S67" s="2">
        <v>24.52</v>
      </c>
      <c r="T67" s="2">
        <v>1.6</v>
      </c>
      <c r="V67" s="4">
        <f t="shared" si="3"/>
        <v>31</v>
      </c>
      <c r="W67">
        <f t="shared" ref="W67:W130" si="4">IF(AND(B67&lt;&gt;B66,D67&gt;2),W66+1,W66)</f>
        <v>3</v>
      </c>
      <c r="X67">
        <f t="shared" ref="X67:X130" si="5">IF(AND(B67&lt;&gt;B66,D67&gt;3),X66+1,X66)</f>
        <v>1</v>
      </c>
      <c r="Y67">
        <v>66</v>
      </c>
      <c r="Z67" s="4">
        <f t="shared" ref="Z67:Z130" si="6">IF(F67&lt;&gt;F66,Z66+1,Z66)</f>
        <v>65</v>
      </c>
    </row>
    <row r="68" spans="1:26" x14ac:dyDescent="0.2">
      <c r="A68" s="11">
        <v>16</v>
      </c>
      <c r="B68" s="4">
        <v>1911</v>
      </c>
      <c r="C68" s="4">
        <v>3</v>
      </c>
      <c r="D68" s="4">
        <v>2</v>
      </c>
      <c r="E68" s="4">
        <v>2</v>
      </c>
      <c r="F68" s="4">
        <v>2</v>
      </c>
      <c r="G68" t="s">
        <v>71</v>
      </c>
      <c r="H68" s="4">
        <v>3</v>
      </c>
      <c r="I68" s="4">
        <v>5</v>
      </c>
      <c r="J68" s="4">
        <v>17</v>
      </c>
      <c r="K68" s="2">
        <v>60</v>
      </c>
      <c r="L68" s="2">
        <v>17.647058823529399</v>
      </c>
      <c r="M68" s="2">
        <v>6.0975609756097497E-2</v>
      </c>
      <c r="N68" s="1">
        <v>2.26441175265342E-6</v>
      </c>
      <c r="O68" s="2">
        <v>5.6450445997248702</v>
      </c>
      <c r="P68" s="2">
        <v>289.41176470588198</v>
      </c>
      <c r="Q68" s="3">
        <v>239.04546891452199</v>
      </c>
      <c r="R68" s="2">
        <v>0.2</v>
      </c>
      <c r="S68" s="2">
        <v>24.52</v>
      </c>
      <c r="T68" s="2">
        <v>1.6</v>
      </c>
      <c r="V68" s="4">
        <f t="shared" ref="V68:V131" si="7">IF(F68=1,V67+1,V67)</f>
        <v>31</v>
      </c>
      <c r="W68">
        <f t="shared" si="4"/>
        <v>3</v>
      </c>
      <c r="X68">
        <f t="shared" si="5"/>
        <v>1</v>
      </c>
      <c r="Y68">
        <v>67</v>
      </c>
      <c r="Z68" s="4">
        <f t="shared" si="6"/>
        <v>65</v>
      </c>
    </row>
    <row r="69" spans="1:26" x14ac:dyDescent="0.2">
      <c r="A69" s="11">
        <v>17</v>
      </c>
      <c r="B69" s="4">
        <v>353</v>
      </c>
      <c r="C69" s="4">
        <v>2</v>
      </c>
      <c r="D69" s="4">
        <v>2</v>
      </c>
      <c r="E69" s="4">
        <v>1</v>
      </c>
      <c r="F69" s="4">
        <v>1</v>
      </c>
      <c r="G69" t="s">
        <v>72</v>
      </c>
      <c r="H69" s="4">
        <v>4</v>
      </c>
      <c r="I69" s="4">
        <v>106</v>
      </c>
      <c r="J69" s="4">
        <v>5</v>
      </c>
      <c r="K69" s="2">
        <v>3.7735849056603699</v>
      </c>
      <c r="L69" s="2">
        <v>80</v>
      </c>
      <c r="M69" s="2">
        <v>3.09842041312272</v>
      </c>
      <c r="N69" s="1">
        <v>9.8578734071337794E-6</v>
      </c>
      <c r="O69" s="2">
        <v>5.0062167632695704</v>
      </c>
      <c r="P69" s="2">
        <v>25.819607843137199</v>
      </c>
      <c r="Q69" s="3">
        <v>71.778047149779098</v>
      </c>
      <c r="R69" s="2">
        <v>3.41</v>
      </c>
      <c r="S69" s="2">
        <v>21.84</v>
      </c>
      <c r="T69" s="2">
        <v>1.42</v>
      </c>
      <c r="V69" s="4">
        <f t="shared" si="7"/>
        <v>32</v>
      </c>
      <c r="W69">
        <f t="shared" si="4"/>
        <v>3</v>
      </c>
      <c r="X69">
        <f t="shared" si="5"/>
        <v>1</v>
      </c>
      <c r="Y69">
        <v>68</v>
      </c>
      <c r="Z69" s="4">
        <f t="shared" si="6"/>
        <v>66</v>
      </c>
    </row>
    <row r="70" spans="1:26" x14ac:dyDescent="0.2">
      <c r="A70" s="11">
        <v>17</v>
      </c>
      <c r="B70" s="4">
        <v>353</v>
      </c>
      <c r="C70" s="4">
        <v>2</v>
      </c>
      <c r="D70" s="4">
        <v>2</v>
      </c>
      <c r="E70" s="4">
        <v>1</v>
      </c>
      <c r="F70" s="4">
        <v>2</v>
      </c>
      <c r="G70" t="s">
        <v>73</v>
      </c>
      <c r="H70" s="4">
        <v>4</v>
      </c>
      <c r="I70" s="4">
        <v>5</v>
      </c>
      <c r="J70" s="4">
        <v>104</v>
      </c>
      <c r="K70" s="2">
        <v>80</v>
      </c>
      <c r="L70" s="2">
        <v>3.84615384615384</v>
      </c>
      <c r="M70" s="2">
        <v>3.13185092389602E-2</v>
      </c>
      <c r="N70" s="1">
        <v>9.1290574566107906E-6</v>
      </c>
      <c r="O70" s="2">
        <v>5.0395740595438703</v>
      </c>
      <c r="P70" s="2">
        <v>122.80769230769199</v>
      </c>
      <c r="Q70" s="3">
        <v>73.245447532439002</v>
      </c>
      <c r="R70" s="2">
        <v>0.57999999999999996</v>
      </c>
      <c r="S70" s="2">
        <v>21.84</v>
      </c>
      <c r="T70" s="2">
        <v>1.42</v>
      </c>
      <c r="V70" s="4">
        <f t="shared" si="7"/>
        <v>32</v>
      </c>
      <c r="W70">
        <f t="shared" si="4"/>
        <v>3</v>
      </c>
      <c r="X70">
        <f t="shared" si="5"/>
        <v>1</v>
      </c>
      <c r="Y70">
        <v>69</v>
      </c>
      <c r="Z70" s="4">
        <f t="shared" si="6"/>
        <v>67</v>
      </c>
    </row>
    <row r="71" spans="1:26" x14ac:dyDescent="0.2">
      <c r="A71" s="11">
        <v>17</v>
      </c>
      <c r="B71" s="4">
        <v>1284</v>
      </c>
      <c r="C71" s="4">
        <v>2</v>
      </c>
      <c r="D71" s="4">
        <v>2</v>
      </c>
      <c r="E71" s="4">
        <v>1</v>
      </c>
      <c r="F71" s="4">
        <v>1</v>
      </c>
      <c r="G71" t="s">
        <v>74</v>
      </c>
      <c r="H71" s="4">
        <v>5</v>
      </c>
      <c r="I71" s="4">
        <v>13</v>
      </c>
      <c r="J71" s="4">
        <v>65</v>
      </c>
      <c r="K71" s="2">
        <v>38.461538461538403</v>
      </c>
      <c r="L71" s="2">
        <v>7.6923076923076898</v>
      </c>
      <c r="M71" s="2">
        <v>0.247524752475247</v>
      </c>
      <c r="N71" s="1">
        <v>5.81228841241744E-6</v>
      </c>
      <c r="O71" s="2">
        <v>5.2356528436490102</v>
      </c>
      <c r="P71" s="2">
        <v>31.076923076922998</v>
      </c>
      <c r="Q71" s="3">
        <v>71.964165102564607</v>
      </c>
      <c r="R71" s="2">
        <v>1.1200000000000001</v>
      </c>
      <c r="S71" s="2">
        <v>20.92</v>
      </c>
      <c r="T71" s="2">
        <v>1.36</v>
      </c>
      <c r="V71" s="4">
        <f t="shared" si="7"/>
        <v>33</v>
      </c>
      <c r="W71">
        <f t="shared" si="4"/>
        <v>3</v>
      </c>
      <c r="X71">
        <f t="shared" si="5"/>
        <v>1</v>
      </c>
      <c r="Y71">
        <v>70</v>
      </c>
      <c r="Z71" s="4">
        <f t="shared" si="6"/>
        <v>68</v>
      </c>
    </row>
    <row r="72" spans="1:26" x14ac:dyDescent="0.2">
      <c r="A72" s="11">
        <v>17</v>
      </c>
      <c r="B72" s="4">
        <v>1284</v>
      </c>
      <c r="C72" s="4">
        <v>2</v>
      </c>
      <c r="D72" s="4">
        <v>2</v>
      </c>
      <c r="E72" s="4">
        <v>1</v>
      </c>
      <c r="F72" s="4">
        <v>2</v>
      </c>
      <c r="G72" t="s">
        <v>75</v>
      </c>
      <c r="H72" s="4">
        <v>5</v>
      </c>
      <c r="I72" s="4">
        <v>66</v>
      </c>
      <c r="J72" s="4">
        <v>11</v>
      </c>
      <c r="K72" s="2">
        <v>7.5757575757575699</v>
      </c>
      <c r="L72" s="2">
        <v>45.454545454545404</v>
      </c>
      <c r="M72" s="2">
        <v>1.85636031649421</v>
      </c>
      <c r="N72" s="1">
        <v>2.32398498713577E-6</v>
      </c>
      <c r="O72" s="2">
        <v>5.6337666818002701</v>
      </c>
      <c r="P72" s="2">
        <v>24.485842026825601</v>
      </c>
      <c r="Q72" s="3">
        <v>85.165287234173107</v>
      </c>
      <c r="R72" s="2">
        <v>4.3899999999999997</v>
      </c>
      <c r="S72" s="2">
        <v>20.92</v>
      </c>
      <c r="T72" s="2">
        <v>1.36</v>
      </c>
      <c r="V72" s="4">
        <f t="shared" si="7"/>
        <v>33</v>
      </c>
      <c r="W72">
        <f t="shared" si="4"/>
        <v>3</v>
      </c>
      <c r="X72">
        <f t="shared" si="5"/>
        <v>1</v>
      </c>
      <c r="Y72">
        <v>71</v>
      </c>
      <c r="Z72" s="4">
        <f t="shared" si="6"/>
        <v>69</v>
      </c>
    </row>
    <row r="73" spans="1:26" x14ac:dyDescent="0.2">
      <c r="A73" s="11">
        <v>17</v>
      </c>
      <c r="B73" s="4">
        <v>2983</v>
      </c>
      <c r="C73" s="4">
        <v>2</v>
      </c>
      <c r="D73" s="4">
        <v>2</v>
      </c>
      <c r="E73" s="4">
        <v>1</v>
      </c>
      <c r="F73" s="4">
        <v>1</v>
      </c>
      <c r="G73" t="s">
        <v>76</v>
      </c>
      <c r="H73" s="4">
        <v>4</v>
      </c>
      <c r="I73" s="4">
        <v>22</v>
      </c>
      <c r="J73" s="4">
        <v>18</v>
      </c>
      <c r="K73" s="2">
        <v>18.181818181818102</v>
      </c>
      <c r="L73" s="2">
        <v>22.2222222222222</v>
      </c>
      <c r="M73" s="2">
        <v>0.54894784995425405</v>
      </c>
      <c r="N73" s="1">
        <v>8.5670983709299705E-6</v>
      </c>
      <c r="O73" s="2">
        <v>5.0671662463235201</v>
      </c>
      <c r="P73" s="2">
        <v>40.481481481481403</v>
      </c>
      <c r="Q73" s="3">
        <v>96.2751657589492</v>
      </c>
      <c r="R73" s="2">
        <v>0.39</v>
      </c>
      <c r="S73" s="2">
        <v>23.5</v>
      </c>
      <c r="T73" s="2">
        <v>1.53</v>
      </c>
      <c r="V73" s="4">
        <f t="shared" si="7"/>
        <v>34</v>
      </c>
      <c r="W73">
        <f t="shared" si="4"/>
        <v>3</v>
      </c>
      <c r="X73">
        <f t="shared" si="5"/>
        <v>1</v>
      </c>
      <c r="Y73">
        <v>72</v>
      </c>
      <c r="Z73" s="4">
        <f t="shared" si="6"/>
        <v>70</v>
      </c>
    </row>
    <row r="74" spans="1:26" x14ac:dyDescent="0.2">
      <c r="A74" s="11">
        <v>17</v>
      </c>
      <c r="B74" s="4">
        <v>2983</v>
      </c>
      <c r="C74" s="4">
        <v>2</v>
      </c>
      <c r="D74" s="4">
        <v>2</v>
      </c>
      <c r="E74" s="4">
        <v>1</v>
      </c>
      <c r="F74" s="4">
        <v>2</v>
      </c>
      <c r="G74" t="s">
        <v>77</v>
      </c>
      <c r="H74" s="4">
        <v>4</v>
      </c>
      <c r="I74" s="4">
        <v>18</v>
      </c>
      <c r="J74" s="4">
        <v>22</v>
      </c>
      <c r="K74" s="2">
        <v>22.2222222222222</v>
      </c>
      <c r="L74" s="2">
        <v>18.181818181818102</v>
      </c>
      <c r="M74" s="2">
        <v>0.42748091603053401</v>
      </c>
      <c r="N74" s="1">
        <v>8.5670983709299705E-6</v>
      </c>
      <c r="O74" s="2">
        <v>5.0671662463235201</v>
      </c>
      <c r="P74" s="2">
        <v>42.5324675324675</v>
      </c>
      <c r="Q74" s="3">
        <v>96.2751657589492</v>
      </c>
      <c r="R74" s="2">
        <v>0.43</v>
      </c>
      <c r="S74" s="2">
        <v>23.5</v>
      </c>
      <c r="T74" s="2">
        <v>1.53</v>
      </c>
      <c r="V74" s="4">
        <f t="shared" si="7"/>
        <v>34</v>
      </c>
      <c r="W74">
        <f t="shared" si="4"/>
        <v>3</v>
      </c>
      <c r="X74">
        <f t="shared" si="5"/>
        <v>1</v>
      </c>
      <c r="Y74">
        <v>73</v>
      </c>
      <c r="Z74" s="4">
        <f t="shared" si="6"/>
        <v>71</v>
      </c>
    </row>
    <row r="75" spans="1:26" x14ac:dyDescent="0.2">
      <c r="A75" s="11">
        <v>18</v>
      </c>
      <c r="B75" s="4">
        <v>1187</v>
      </c>
      <c r="C75" s="4">
        <v>2</v>
      </c>
      <c r="D75" s="4">
        <v>2</v>
      </c>
      <c r="E75" s="4">
        <v>1</v>
      </c>
      <c r="F75" s="4">
        <v>1</v>
      </c>
      <c r="G75" t="s">
        <v>78</v>
      </c>
      <c r="H75" s="4">
        <v>4</v>
      </c>
      <c r="I75" s="4">
        <v>24</v>
      </c>
      <c r="J75" s="4">
        <v>9</v>
      </c>
      <c r="K75" s="2">
        <v>16.6666666666666</v>
      </c>
      <c r="L75" s="2">
        <v>44.4444444444444</v>
      </c>
      <c r="M75" s="2">
        <v>0.60827250608272498</v>
      </c>
      <c r="N75" s="1">
        <v>5.3176401336762897E-7</v>
      </c>
      <c r="O75" s="2">
        <v>6.2742810564829696</v>
      </c>
      <c r="P75" s="2">
        <v>73.066666666666606</v>
      </c>
      <c r="Q75" s="3">
        <v>181.86484243398101</v>
      </c>
      <c r="R75" s="2">
        <v>40.770000000000003</v>
      </c>
      <c r="S75" s="2">
        <v>20.38</v>
      </c>
      <c r="T75" s="2">
        <v>1.33</v>
      </c>
      <c r="V75" s="4">
        <f t="shared" si="7"/>
        <v>35</v>
      </c>
      <c r="W75">
        <f t="shared" si="4"/>
        <v>3</v>
      </c>
      <c r="X75">
        <f t="shared" si="5"/>
        <v>1</v>
      </c>
      <c r="Y75">
        <v>74</v>
      </c>
      <c r="Z75" s="4">
        <f t="shared" si="6"/>
        <v>72</v>
      </c>
    </row>
    <row r="76" spans="1:26" x14ac:dyDescent="0.2">
      <c r="A76" s="11">
        <v>18</v>
      </c>
      <c r="B76" s="4">
        <v>1187</v>
      </c>
      <c r="C76" s="4">
        <v>2</v>
      </c>
      <c r="D76" s="4">
        <v>2</v>
      </c>
      <c r="E76" s="4">
        <v>1</v>
      </c>
      <c r="F76" s="4">
        <v>2</v>
      </c>
      <c r="G76" t="s">
        <v>79</v>
      </c>
      <c r="H76" s="4">
        <v>4</v>
      </c>
      <c r="I76" s="4">
        <v>9</v>
      </c>
      <c r="J76" s="4">
        <v>21</v>
      </c>
      <c r="K76" s="2">
        <v>44.4444444444444</v>
      </c>
      <c r="L76" s="2">
        <v>19.047619047619001</v>
      </c>
      <c r="M76" s="2">
        <v>0.152625152625152</v>
      </c>
      <c r="N76" s="1">
        <v>3.0060946007425402E-7</v>
      </c>
      <c r="O76" s="2">
        <v>6.5219973564390603</v>
      </c>
      <c r="P76" s="2">
        <v>124.8</v>
      </c>
      <c r="Q76" s="3">
        <v>208.646655248559</v>
      </c>
      <c r="R76" s="2">
        <v>0.74</v>
      </c>
      <c r="S76" s="2">
        <v>20.38</v>
      </c>
      <c r="T76" s="2">
        <v>1.33</v>
      </c>
      <c r="V76" s="4">
        <f t="shared" si="7"/>
        <v>35</v>
      </c>
      <c r="W76">
        <f t="shared" si="4"/>
        <v>3</v>
      </c>
      <c r="X76">
        <f t="shared" si="5"/>
        <v>1</v>
      </c>
      <c r="Y76">
        <v>75</v>
      </c>
      <c r="Z76" s="4">
        <f t="shared" si="6"/>
        <v>73</v>
      </c>
    </row>
    <row r="77" spans="1:26" x14ac:dyDescent="0.2">
      <c r="A77" s="11">
        <v>19</v>
      </c>
      <c r="B77" s="4">
        <v>505</v>
      </c>
      <c r="C77" s="4">
        <v>2</v>
      </c>
      <c r="D77" s="4">
        <v>2</v>
      </c>
      <c r="E77" s="4">
        <v>1</v>
      </c>
      <c r="F77" s="4">
        <v>1</v>
      </c>
      <c r="G77" t="s">
        <v>80</v>
      </c>
      <c r="H77" s="4">
        <v>4</v>
      </c>
      <c r="I77" s="4">
        <v>22</v>
      </c>
      <c r="J77" s="4">
        <v>16</v>
      </c>
      <c r="K77" s="2">
        <v>18.181818181818102</v>
      </c>
      <c r="L77" s="2">
        <v>25</v>
      </c>
      <c r="M77" s="2">
        <v>0.54861322767448895</v>
      </c>
      <c r="N77" s="1">
        <v>5.1403603065105997E-6</v>
      </c>
      <c r="O77" s="2">
        <v>5.2890064386613096</v>
      </c>
      <c r="P77" s="2">
        <v>45.5694444444444</v>
      </c>
      <c r="Q77" s="3">
        <v>109.10002386785</v>
      </c>
      <c r="R77" s="2">
        <v>1.1299999999999999</v>
      </c>
      <c r="S77" s="2">
        <v>21.97</v>
      </c>
      <c r="T77" s="2">
        <v>1.43</v>
      </c>
      <c r="V77" s="4">
        <f t="shared" si="7"/>
        <v>36</v>
      </c>
      <c r="W77">
        <f t="shared" si="4"/>
        <v>3</v>
      </c>
      <c r="X77">
        <f t="shared" si="5"/>
        <v>1</v>
      </c>
      <c r="Y77">
        <v>76</v>
      </c>
      <c r="Z77" s="4">
        <f t="shared" si="6"/>
        <v>74</v>
      </c>
    </row>
    <row r="78" spans="1:26" x14ac:dyDescent="0.2">
      <c r="A78" s="11">
        <v>19</v>
      </c>
      <c r="B78" s="4">
        <v>505</v>
      </c>
      <c r="C78" s="4">
        <v>2</v>
      </c>
      <c r="D78" s="4">
        <v>2</v>
      </c>
      <c r="E78" s="4">
        <v>1</v>
      </c>
      <c r="F78" s="4">
        <v>2</v>
      </c>
      <c r="G78" t="s">
        <v>81</v>
      </c>
      <c r="H78" s="4">
        <v>4</v>
      </c>
      <c r="I78" s="4">
        <v>16</v>
      </c>
      <c r="J78" s="4">
        <v>22</v>
      </c>
      <c r="K78" s="2">
        <v>25</v>
      </c>
      <c r="L78" s="2">
        <v>18.181818181818102</v>
      </c>
      <c r="M78" s="2">
        <v>0.36641221374045801</v>
      </c>
      <c r="N78" s="1">
        <v>5.1403603065105904E-6</v>
      </c>
      <c r="O78" s="2">
        <v>5.2890064386613096</v>
      </c>
      <c r="P78" s="2">
        <v>49.621212121212103</v>
      </c>
      <c r="Q78" s="3">
        <v>109.10002386785</v>
      </c>
      <c r="R78" s="2">
        <v>3.06</v>
      </c>
      <c r="S78" s="2">
        <v>21.97</v>
      </c>
      <c r="T78" s="2">
        <v>1.43</v>
      </c>
      <c r="V78" s="4">
        <f t="shared" si="7"/>
        <v>36</v>
      </c>
      <c r="W78">
        <f t="shared" si="4"/>
        <v>3</v>
      </c>
      <c r="X78">
        <f t="shared" si="5"/>
        <v>1</v>
      </c>
      <c r="Y78">
        <v>77</v>
      </c>
      <c r="Z78" s="4">
        <f t="shared" si="6"/>
        <v>75</v>
      </c>
    </row>
    <row r="79" spans="1:26" x14ac:dyDescent="0.2">
      <c r="A79" s="11">
        <v>19</v>
      </c>
      <c r="B79" s="4">
        <v>1227</v>
      </c>
      <c r="C79" s="4">
        <v>2</v>
      </c>
      <c r="D79" s="4">
        <v>2</v>
      </c>
      <c r="E79" s="4">
        <v>1</v>
      </c>
      <c r="F79" s="4">
        <v>1</v>
      </c>
      <c r="G79" t="s">
        <v>82</v>
      </c>
      <c r="H79" s="4">
        <v>5</v>
      </c>
      <c r="I79" s="4">
        <v>25</v>
      </c>
      <c r="J79" s="4">
        <v>35</v>
      </c>
      <c r="K79" s="2">
        <v>20</v>
      </c>
      <c r="L79" s="2">
        <v>14.285714285714199</v>
      </c>
      <c r="M79" s="2">
        <v>0.61312078479460397</v>
      </c>
      <c r="N79" s="1">
        <v>9.1501329168965804E-6</v>
      </c>
      <c r="O79" s="2">
        <v>5.03857259722803</v>
      </c>
      <c r="P79" s="2">
        <v>23.299999999999901</v>
      </c>
      <c r="Q79" s="3">
        <v>68.814158547750694</v>
      </c>
      <c r="R79" s="2">
        <v>3.92</v>
      </c>
      <c r="S79" s="2">
        <v>22.31</v>
      </c>
      <c r="T79" s="2">
        <v>1.45</v>
      </c>
      <c r="V79" s="4">
        <f t="shared" si="7"/>
        <v>37</v>
      </c>
      <c r="W79">
        <f t="shared" si="4"/>
        <v>3</v>
      </c>
      <c r="X79">
        <f t="shared" si="5"/>
        <v>1</v>
      </c>
      <c r="Y79">
        <v>78</v>
      </c>
      <c r="Z79" s="4">
        <f t="shared" si="6"/>
        <v>76</v>
      </c>
    </row>
    <row r="80" spans="1:26" x14ac:dyDescent="0.2">
      <c r="A80" s="11">
        <v>19</v>
      </c>
      <c r="B80" s="4">
        <v>1227</v>
      </c>
      <c r="C80" s="4">
        <v>2</v>
      </c>
      <c r="D80" s="4">
        <v>2</v>
      </c>
      <c r="E80" s="4">
        <v>1</v>
      </c>
      <c r="F80" s="4">
        <v>2</v>
      </c>
      <c r="G80" t="s">
        <v>83</v>
      </c>
      <c r="H80" s="4">
        <v>5</v>
      </c>
      <c r="I80" s="4">
        <v>35</v>
      </c>
      <c r="J80" s="4">
        <v>25</v>
      </c>
      <c r="K80" s="2">
        <v>14.285714285714199</v>
      </c>
      <c r="L80" s="2">
        <v>20</v>
      </c>
      <c r="M80" s="2">
        <v>0.91687041564792104</v>
      </c>
      <c r="N80" s="1">
        <v>9.1501329168965906E-6</v>
      </c>
      <c r="O80" s="2">
        <v>5.03857259722803</v>
      </c>
      <c r="P80" s="2">
        <v>21.813333333333301</v>
      </c>
      <c r="Q80" s="3">
        <v>68.814158547750694</v>
      </c>
      <c r="R80" s="2">
        <v>0.62</v>
      </c>
      <c r="S80" s="2">
        <v>22.31</v>
      </c>
      <c r="T80" s="2">
        <v>1.45</v>
      </c>
      <c r="V80" s="4">
        <f t="shared" si="7"/>
        <v>37</v>
      </c>
      <c r="W80">
        <f t="shared" si="4"/>
        <v>3</v>
      </c>
      <c r="X80">
        <f t="shared" si="5"/>
        <v>1</v>
      </c>
      <c r="Y80">
        <v>79</v>
      </c>
      <c r="Z80" s="4">
        <f t="shared" si="6"/>
        <v>77</v>
      </c>
    </row>
    <row r="81" spans="1:26" x14ac:dyDescent="0.2">
      <c r="A81" s="11">
        <v>19</v>
      </c>
      <c r="B81" s="4">
        <v>1299</v>
      </c>
      <c r="C81" s="4">
        <v>2</v>
      </c>
      <c r="D81" s="4">
        <v>2</v>
      </c>
      <c r="E81" s="4">
        <v>1</v>
      </c>
      <c r="F81" s="4">
        <v>1</v>
      </c>
      <c r="G81" t="s">
        <v>84</v>
      </c>
      <c r="H81" s="4">
        <v>4</v>
      </c>
      <c r="I81" s="4">
        <v>27</v>
      </c>
      <c r="J81" s="4">
        <v>11</v>
      </c>
      <c r="K81" s="2">
        <v>14.814814814814801</v>
      </c>
      <c r="L81" s="2">
        <v>36.363636363636303</v>
      </c>
      <c r="M81" s="2">
        <v>0.69993913572732802</v>
      </c>
      <c r="N81" s="1">
        <v>2.2662713286355301E-6</v>
      </c>
      <c r="O81" s="2">
        <v>5.6446880955869396</v>
      </c>
      <c r="P81" s="2">
        <v>51.952569169960398</v>
      </c>
      <c r="Q81" s="3">
        <v>130.57889181295101</v>
      </c>
      <c r="R81" s="2">
        <v>32.380000000000003</v>
      </c>
      <c r="S81" s="2">
        <v>19.29</v>
      </c>
      <c r="T81" s="2">
        <v>1.26</v>
      </c>
      <c r="V81" s="4">
        <f t="shared" si="7"/>
        <v>38</v>
      </c>
      <c r="W81">
        <f t="shared" si="4"/>
        <v>3</v>
      </c>
      <c r="X81">
        <f t="shared" si="5"/>
        <v>1</v>
      </c>
      <c r="Y81">
        <v>80</v>
      </c>
      <c r="Z81" s="4">
        <f t="shared" si="6"/>
        <v>78</v>
      </c>
    </row>
    <row r="82" spans="1:26" x14ac:dyDescent="0.2">
      <c r="A82" s="11">
        <v>19</v>
      </c>
      <c r="B82" s="4">
        <v>1299</v>
      </c>
      <c r="C82" s="4">
        <v>2</v>
      </c>
      <c r="D82" s="4">
        <v>2</v>
      </c>
      <c r="E82" s="4">
        <v>1</v>
      </c>
      <c r="F82" s="4">
        <v>2</v>
      </c>
      <c r="G82" t="s">
        <v>85</v>
      </c>
      <c r="H82" s="4">
        <v>4</v>
      </c>
      <c r="I82" s="4">
        <v>11</v>
      </c>
      <c r="J82" s="4">
        <v>27</v>
      </c>
      <c r="K82" s="2">
        <v>36.363636363636303</v>
      </c>
      <c r="L82" s="2">
        <v>14.814814814814801</v>
      </c>
      <c r="M82" s="2">
        <v>0.214067278287461</v>
      </c>
      <c r="N82" s="1">
        <v>2.2662713286355199E-6</v>
      </c>
      <c r="O82" s="2">
        <v>5.6446880955869396</v>
      </c>
      <c r="P82" s="2">
        <v>69.206349206349202</v>
      </c>
      <c r="Q82" s="3">
        <v>130.57889181295101</v>
      </c>
      <c r="R82" s="2">
        <v>3.76</v>
      </c>
      <c r="S82" s="2">
        <v>19.29</v>
      </c>
      <c r="T82" s="2">
        <v>1.26</v>
      </c>
      <c r="V82" s="4">
        <f t="shared" si="7"/>
        <v>38</v>
      </c>
      <c r="W82">
        <f t="shared" si="4"/>
        <v>3</v>
      </c>
      <c r="X82">
        <f t="shared" si="5"/>
        <v>1</v>
      </c>
      <c r="Y82">
        <v>81</v>
      </c>
      <c r="Z82" s="4">
        <f t="shared" si="6"/>
        <v>79</v>
      </c>
    </row>
    <row r="83" spans="1:26" x14ac:dyDescent="0.2">
      <c r="A83" s="11">
        <v>20</v>
      </c>
      <c r="B83" s="4">
        <v>351</v>
      </c>
      <c r="C83" s="4">
        <v>2</v>
      </c>
      <c r="D83" s="4">
        <v>2</v>
      </c>
      <c r="E83" s="4">
        <v>1</v>
      </c>
      <c r="F83" s="4">
        <v>1</v>
      </c>
      <c r="G83" t="s">
        <v>86</v>
      </c>
      <c r="H83" s="4">
        <v>4</v>
      </c>
      <c r="I83" s="4">
        <v>7</v>
      </c>
      <c r="J83" s="4">
        <v>26</v>
      </c>
      <c r="K83" s="2">
        <v>57.142857142857103</v>
      </c>
      <c r="L83" s="2">
        <v>15.3846153846153</v>
      </c>
      <c r="M83" s="2">
        <v>9.1715071843472898E-2</v>
      </c>
      <c r="N83" s="1">
        <v>2.0954772538601401E-7</v>
      </c>
      <c r="O83" s="2">
        <v>6.6787170490160701</v>
      </c>
      <c r="P83" s="2">
        <v>167.74358974358901</v>
      </c>
      <c r="Q83" s="3">
        <v>217.138387342069</v>
      </c>
      <c r="R83" s="2">
        <v>2.09</v>
      </c>
      <c r="S83" s="2">
        <v>21.41</v>
      </c>
      <c r="T83" s="2">
        <v>1.4</v>
      </c>
      <c r="V83" s="4">
        <f t="shared" si="7"/>
        <v>39</v>
      </c>
      <c r="W83">
        <f t="shared" si="4"/>
        <v>3</v>
      </c>
      <c r="X83">
        <f t="shared" si="5"/>
        <v>1</v>
      </c>
      <c r="Y83">
        <v>82</v>
      </c>
      <c r="Z83" s="4">
        <f t="shared" si="6"/>
        <v>80</v>
      </c>
    </row>
    <row r="84" spans="1:26" x14ac:dyDescent="0.2">
      <c r="A84" s="11">
        <v>20</v>
      </c>
      <c r="B84" s="4">
        <v>351</v>
      </c>
      <c r="C84" s="4">
        <v>2</v>
      </c>
      <c r="D84" s="4">
        <v>2</v>
      </c>
      <c r="E84" s="4">
        <v>1</v>
      </c>
      <c r="F84" s="4">
        <v>2</v>
      </c>
      <c r="G84" t="s">
        <v>87</v>
      </c>
      <c r="H84" s="4">
        <v>4</v>
      </c>
      <c r="I84" s="4">
        <v>27</v>
      </c>
      <c r="J84" s="4">
        <v>7</v>
      </c>
      <c r="K84" s="2">
        <v>14.814814814814801</v>
      </c>
      <c r="L84" s="2">
        <v>57.142857142857103</v>
      </c>
      <c r="M84" s="2">
        <v>0.69908814589665602</v>
      </c>
      <c r="N84" s="1">
        <v>2.4581064333582702E-7</v>
      </c>
      <c r="O84" s="2">
        <v>6.6093993165596299</v>
      </c>
      <c r="P84" s="2">
        <v>81.739130434782595</v>
      </c>
      <c r="Q84" s="3">
        <v>208.90242354739999</v>
      </c>
      <c r="R84" s="2">
        <v>3.34</v>
      </c>
      <c r="S84" s="2">
        <v>21.41</v>
      </c>
      <c r="T84" s="2">
        <v>1.4</v>
      </c>
      <c r="V84" s="4">
        <f t="shared" si="7"/>
        <v>39</v>
      </c>
      <c r="W84">
        <f t="shared" si="4"/>
        <v>3</v>
      </c>
      <c r="X84">
        <f t="shared" si="5"/>
        <v>1</v>
      </c>
      <c r="Y84">
        <v>83</v>
      </c>
      <c r="Z84" s="4">
        <f t="shared" si="6"/>
        <v>81</v>
      </c>
    </row>
    <row r="85" spans="1:26" x14ac:dyDescent="0.2">
      <c r="A85" s="11">
        <v>20</v>
      </c>
      <c r="B85" s="4">
        <v>640</v>
      </c>
      <c r="C85" s="4">
        <v>2</v>
      </c>
      <c r="D85" s="4">
        <v>2</v>
      </c>
      <c r="E85" s="4">
        <v>1</v>
      </c>
      <c r="F85" s="4">
        <v>1</v>
      </c>
      <c r="G85" t="s">
        <v>88</v>
      </c>
      <c r="H85" s="4">
        <v>13</v>
      </c>
      <c r="I85" s="4">
        <v>264</v>
      </c>
      <c r="J85" s="4">
        <v>37</v>
      </c>
      <c r="K85" s="2">
        <v>4.9242424242424203</v>
      </c>
      <c r="L85" s="2">
        <v>35.135135135135101</v>
      </c>
      <c r="M85" s="2">
        <v>7.6993865030674797</v>
      </c>
      <c r="N85" s="1">
        <v>5.1518027941686596E-6</v>
      </c>
      <c r="O85" s="2">
        <v>5.28804076968619</v>
      </c>
      <c r="P85" s="2">
        <v>4.5633681490255196</v>
      </c>
      <c r="Q85" s="3">
        <v>33.753022787295997</v>
      </c>
      <c r="R85" s="2">
        <v>10.73</v>
      </c>
      <c r="S85" s="2">
        <v>22.83</v>
      </c>
      <c r="T85" s="2">
        <v>1.49</v>
      </c>
      <c r="V85" s="4">
        <f t="shared" si="7"/>
        <v>40</v>
      </c>
      <c r="W85">
        <f t="shared" si="4"/>
        <v>3</v>
      </c>
      <c r="X85">
        <f t="shared" si="5"/>
        <v>1</v>
      </c>
      <c r="Y85">
        <v>84</v>
      </c>
      <c r="Z85" s="4">
        <f t="shared" si="6"/>
        <v>82</v>
      </c>
    </row>
    <row r="86" spans="1:26" x14ac:dyDescent="0.2">
      <c r="A86" s="11">
        <v>20</v>
      </c>
      <c r="B86" s="4">
        <v>640</v>
      </c>
      <c r="C86" s="4">
        <v>2</v>
      </c>
      <c r="D86" s="4">
        <v>2</v>
      </c>
      <c r="E86" s="4">
        <v>1</v>
      </c>
      <c r="F86" s="4">
        <v>2</v>
      </c>
      <c r="G86" t="s">
        <v>89</v>
      </c>
      <c r="H86" s="4">
        <v>13</v>
      </c>
      <c r="I86" s="4">
        <v>39</v>
      </c>
      <c r="J86" s="4">
        <v>262</v>
      </c>
      <c r="K86" s="2">
        <v>33.3333333333333</v>
      </c>
      <c r="L86" s="2">
        <v>4.9618320610686997</v>
      </c>
      <c r="M86" s="2">
        <v>0.85667215815485998</v>
      </c>
      <c r="N86" s="1">
        <v>9.3128355481341808E-6</v>
      </c>
      <c r="O86" s="2">
        <v>5.0309180660205302</v>
      </c>
      <c r="P86" s="2">
        <v>5.7919847328244201</v>
      </c>
      <c r="Q86" s="3">
        <v>31.348195238407101</v>
      </c>
      <c r="R86" s="2">
        <v>2.93</v>
      </c>
      <c r="S86" s="2">
        <v>22.83</v>
      </c>
      <c r="T86" s="2">
        <v>1.49</v>
      </c>
      <c r="V86" s="4">
        <f t="shared" si="7"/>
        <v>40</v>
      </c>
      <c r="W86">
        <f t="shared" si="4"/>
        <v>3</v>
      </c>
      <c r="X86">
        <f t="shared" si="5"/>
        <v>1</v>
      </c>
      <c r="Y86">
        <v>85</v>
      </c>
      <c r="Z86" s="4">
        <f t="shared" si="6"/>
        <v>83</v>
      </c>
    </row>
    <row r="87" spans="1:26" x14ac:dyDescent="0.2">
      <c r="A87" s="11">
        <v>20</v>
      </c>
      <c r="B87" s="4">
        <v>1435</v>
      </c>
      <c r="C87" s="4">
        <v>2</v>
      </c>
      <c r="D87" s="4">
        <v>2</v>
      </c>
      <c r="E87" s="4">
        <v>1</v>
      </c>
      <c r="F87" s="4">
        <v>1</v>
      </c>
      <c r="G87" t="s">
        <v>90</v>
      </c>
      <c r="H87" s="4">
        <v>4</v>
      </c>
      <c r="I87" s="4">
        <v>17</v>
      </c>
      <c r="J87" s="4">
        <v>19</v>
      </c>
      <c r="K87" s="2">
        <v>23.529411764705799</v>
      </c>
      <c r="L87" s="2">
        <v>21.052631578947299</v>
      </c>
      <c r="M87" s="2">
        <v>0.39658328248932201</v>
      </c>
      <c r="N87" s="1">
        <v>3.5800816089731498E-6</v>
      </c>
      <c r="O87" s="2">
        <v>5.4461070733776999</v>
      </c>
      <c r="P87" s="2">
        <v>53.085020242914901</v>
      </c>
      <c r="Q87" s="3">
        <v>119.439603560533</v>
      </c>
      <c r="R87" s="2">
        <v>3.56</v>
      </c>
      <c r="S87" s="2">
        <v>24.38</v>
      </c>
      <c r="T87" s="2">
        <v>1.59</v>
      </c>
      <c r="V87" s="4">
        <f t="shared" si="7"/>
        <v>41</v>
      </c>
      <c r="W87">
        <f t="shared" si="4"/>
        <v>3</v>
      </c>
      <c r="X87">
        <f t="shared" si="5"/>
        <v>1</v>
      </c>
      <c r="Y87">
        <v>86</v>
      </c>
      <c r="Z87" s="4">
        <f t="shared" si="6"/>
        <v>84</v>
      </c>
    </row>
    <row r="88" spans="1:26" x14ac:dyDescent="0.2">
      <c r="A88" s="11">
        <v>20</v>
      </c>
      <c r="B88" s="4">
        <v>1435</v>
      </c>
      <c r="C88" s="4">
        <v>2</v>
      </c>
      <c r="D88" s="4">
        <v>2</v>
      </c>
      <c r="E88" s="4">
        <v>1</v>
      </c>
      <c r="F88" s="4">
        <v>2</v>
      </c>
      <c r="G88" t="s">
        <v>91</v>
      </c>
      <c r="H88" s="4">
        <v>4</v>
      </c>
      <c r="I88" s="4">
        <v>19</v>
      </c>
      <c r="J88" s="4">
        <v>17</v>
      </c>
      <c r="K88" s="2">
        <v>21.052631578947299</v>
      </c>
      <c r="L88" s="2">
        <v>23.529411764705799</v>
      </c>
      <c r="M88" s="2">
        <v>0.457317073170731</v>
      </c>
      <c r="N88" s="1">
        <v>3.5800816089731498E-6</v>
      </c>
      <c r="O88" s="2">
        <v>5.4461070733776999</v>
      </c>
      <c r="P88" s="2">
        <v>51.450980392156801</v>
      </c>
      <c r="Q88" s="3">
        <v>119.439603560533</v>
      </c>
      <c r="R88" s="2">
        <v>0.56999999999999995</v>
      </c>
      <c r="S88" s="2">
        <v>24.38</v>
      </c>
      <c r="T88" s="2">
        <v>1.59</v>
      </c>
      <c r="V88" s="4">
        <f t="shared" si="7"/>
        <v>41</v>
      </c>
      <c r="W88">
        <f t="shared" si="4"/>
        <v>3</v>
      </c>
      <c r="X88">
        <f t="shared" si="5"/>
        <v>1</v>
      </c>
      <c r="Y88">
        <v>87</v>
      </c>
      <c r="Z88" s="4">
        <f t="shared" si="6"/>
        <v>85</v>
      </c>
    </row>
    <row r="89" spans="1:26" x14ac:dyDescent="0.2">
      <c r="A89" s="11">
        <v>22</v>
      </c>
      <c r="B89" s="4">
        <v>65</v>
      </c>
      <c r="C89" s="4">
        <v>2</v>
      </c>
      <c r="D89" s="4">
        <v>2</v>
      </c>
      <c r="E89" s="4">
        <v>1</v>
      </c>
      <c r="F89" s="4">
        <v>1</v>
      </c>
      <c r="G89" t="s">
        <v>92</v>
      </c>
      <c r="H89" s="4">
        <v>22</v>
      </c>
      <c r="I89" s="4">
        <v>115</v>
      </c>
      <c r="J89" s="4">
        <v>213</v>
      </c>
      <c r="K89" s="2">
        <v>19.130434782608599</v>
      </c>
      <c r="L89" s="2">
        <v>10.3286384976525</v>
      </c>
      <c r="M89" s="2">
        <v>3.0155642023346299</v>
      </c>
      <c r="N89" s="1">
        <v>4.8497919841253197E-6</v>
      </c>
      <c r="O89" s="2">
        <v>5.3142768886315297</v>
      </c>
      <c r="P89" s="2">
        <v>3.4251097985764001</v>
      </c>
      <c r="Q89" s="3">
        <v>31.6529998281625</v>
      </c>
      <c r="R89" s="2">
        <v>9.6</v>
      </c>
      <c r="S89" s="2">
        <v>22.44</v>
      </c>
      <c r="T89" s="2">
        <v>1.46</v>
      </c>
      <c r="V89" s="4">
        <f t="shared" si="7"/>
        <v>42</v>
      </c>
      <c r="W89">
        <f t="shared" si="4"/>
        <v>3</v>
      </c>
      <c r="X89">
        <f t="shared" si="5"/>
        <v>1</v>
      </c>
      <c r="Y89">
        <v>88</v>
      </c>
      <c r="Z89" s="4">
        <f t="shared" si="6"/>
        <v>86</v>
      </c>
    </row>
    <row r="90" spans="1:26" x14ac:dyDescent="0.2">
      <c r="A90" s="11">
        <v>22</v>
      </c>
      <c r="B90" s="4">
        <v>65</v>
      </c>
      <c r="C90" s="4">
        <v>2</v>
      </c>
      <c r="D90" s="4">
        <v>2</v>
      </c>
      <c r="E90" s="4">
        <v>1</v>
      </c>
      <c r="F90" s="4">
        <v>2</v>
      </c>
      <c r="G90" t="s">
        <v>93</v>
      </c>
      <c r="H90" s="4">
        <v>22</v>
      </c>
      <c r="I90" s="4">
        <v>216</v>
      </c>
      <c r="J90" s="4">
        <v>113</v>
      </c>
      <c r="K90" s="2">
        <v>10.1851851851851</v>
      </c>
      <c r="L90" s="2">
        <v>19.469026548672499</v>
      </c>
      <c r="M90" s="2">
        <v>6.0929648241205996</v>
      </c>
      <c r="N90" s="1">
        <v>4.5175309014709E-6</v>
      </c>
      <c r="O90" s="2">
        <v>5.3450988680326796</v>
      </c>
      <c r="P90" s="2">
        <v>3.1953288933491399</v>
      </c>
      <c r="Q90" s="3">
        <v>31.8919833416644</v>
      </c>
      <c r="R90" s="2">
        <v>4.8600000000000003</v>
      </c>
      <c r="S90" s="2">
        <v>22.44</v>
      </c>
      <c r="T90" s="2">
        <v>1.46</v>
      </c>
      <c r="V90" s="4">
        <f t="shared" si="7"/>
        <v>42</v>
      </c>
      <c r="W90">
        <f t="shared" si="4"/>
        <v>3</v>
      </c>
      <c r="X90">
        <f t="shared" si="5"/>
        <v>1</v>
      </c>
      <c r="Y90">
        <v>89</v>
      </c>
      <c r="Z90" s="4">
        <f t="shared" si="6"/>
        <v>87</v>
      </c>
    </row>
    <row r="91" spans="1:26" x14ac:dyDescent="0.2">
      <c r="A91" s="11">
        <v>22</v>
      </c>
      <c r="B91" s="4">
        <v>555</v>
      </c>
      <c r="C91" s="4">
        <v>2</v>
      </c>
      <c r="D91" s="4">
        <v>2</v>
      </c>
      <c r="E91" s="4">
        <v>1</v>
      </c>
      <c r="F91" s="4">
        <v>1</v>
      </c>
      <c r="G91" t="s">
        <v>94</v>
      </c>
      <c r="H91" s="4">
        <v>4</v>
      </c>
      <c r="I91" s="4">
        <v>51</v>
      </c>
      <c r="J91" s="4">
        <v>8</v>
      </c>
      <c r="K91" s="2">
        <v>7.8431372549019596</v>
      </c>
      <c r="L91" s="2">
        <v>50</v>
      </c>
      <c r="M91" s="2">
        <v>1.42900577683186</v>
      </c>
      <c r="N91" s="1">
        <v>6.7995129396227203E-6</v>
      </c>
      <c r="O91" s="2">
        <v>5.1675221954128903</v>
      </c>
      <c r="P91" s="2">
        <v>34.989361702127603</v>
      </c>
      <c r="Q91" s="3">
        <v>93.789404063958997</v>
      </c>
      <c r="R91" s="2">
        <v>0.89</v>
      </c>
      <c r="S91" s="2">
        <v>22.65</v>
      </c>
      <c r="T91" s="2">
        <v>1.48</v>
      </c>
      <c r="V91" s="4">
        <f t="shared" si="7"/>
        <v>43</v>
      </c>
      <c r="W91">
        <f t="shared" si="4"/>
        <v>3</v>
      </c>
      <c r="X91">
        <f t="shared" si="5"/>
        <v>1</v>
      </c>
      <c r="Y91">
        <v>90</v>
      </c>
      <c r="Z91" s="4">
        <f t="shared" si="6"/>
        <v>88</v>
      </c>
    </row>
    <row r="92" spans="1:26" x14ac:dyDescent="0.2">
      <c r="A92" s="11">
        <v>22</v>
      </c>
      <c r="B92" s="4">
        <v>555</v>
      </c>
      <c r="C92" s="4">
        <v>2</v>
      </c>
      <c r="D92" s="4">
        <v>2</v>
      </c>
      <c r="E92" s="4">
        <v>1</v>
      </c>
      <c r="F92" s="4">
        <v>2</v>
      </c>
      <c r="G92" t="s">
        <v>95</v>
      </c>
      <c r="H92" s="4">
        <v>4</v>
      </c>
      <c r="I92" s="4">
        <v>8</v>
      </c>
      <c r="J92" s="4">
        <v>44</v>
      </c>
      <c r="K92" s="2">
        <v>50</v>
      </c>
      <c r="L92" s="2">
        <v>9.0909090909090899</v>
      </c>
      <c r="M92" s="2">
        <v>0.122963418383031</v>
      </c>
      <c r="N92" s="1">
        <v>3.71909646244361E-6</v>
      </c>
      <c r="O92" s="2">
        <v>5.4295625571710904</v>
      </c>
      <c r="P92" s="2">
        <v>73.931818181818102</v>
      </c>
      <c r="Q92" s="3">
        <v>109.570701859473</v>
      </c>
      <c r="R92" s="2">
        <v>0.66</v>
      </c>
      <c r="S92" s="2">
        <v>22.65</v>
      </c>
      <c r="T92" s="2">
        <v>1.48</v>
      </c>
      <c r="V92" s="4">
        <f t="shared" si="7"/>
        <v>43</v>
      </c>
      <c r="W92">
        <f t="shared" si="4"/>
        <v>3</v>
      </c>
      <c r="X92">
        <f t="shared" si="5"/>
        <v>1</v>
      </c>
      <c r="Y92">
        <v>91</v>
      </c>
      <c r="Z92" s="4">
        <f t="shared" si="6"/>
        <v>89</v>
      </c>
    </row>
    <row r="93" spans="1:26" x14ac:dyDescent="0.2">
      <c r="A93" s="11">
        <v>23</v>
      </c>
      <c r="B93" s="4">
        <v>157</v>
      </c>
      <c r="C93" s="4">
        <v>2</v>
      </c>
      <c r="D93" s="4">
        <v>2</v>
      </c>
      <c r="E93" s="4">
        <v>1</v>
      </c>
      <c r="F93" s="4">
        <v>1</v>
      </c>
      <c r="G93" t="s">
        <v>96</v>
      </c>
      <c r="H93" s="4">
        <v>4</v>
      </c>
      <c r="I93" s="4">
        <v>34</v>
      </c>
      <c r="J93" s="4">
        <v>12</v>
      </c>
      <c r="K93" s="2">
        <v>11.764705882352899</v>
      </c>
      <c r="L93" s="2">
        <v>33.3333333333333</v>
      </c>
      <c r="M93" s="2">
        <v>0.91324200913242004</v>
      </c>
      <c r="N93" s="1">
        <v>8.8114009766712602E-6</v>
      </c>
      <c r="O93" s="2">
        <v>5.0549550350538297</v>
      </c>
      <c r="P93" s="2">
        <v>36.5</v>
      </c>
      <c r="Q93" s="3">
        <v>93.414376120695394</v>
      </c>
      <c r="R93" s="2">
        <v>0.4</v>
      </c>
      <c r="S93" s="2">
        <v>18.98</v>
      </c>
      <c r="T93" s="2">
        <v>1.24</v>
      </c>
      <c r="V93" s="4">
        <f t="shared" si="7"/>
        <v>44</v>
      </c>
      <c r="W93">
        <f t="shared" si="4"/>
        <v>3</v>
      </c>
      <c r="X93">
        <f t="shared" si="5"/>
        <v>1</v>
      </c>
      <c r="Y93">
        <v>92</v>
      </c>
      <c r="Z93" s="4">
        <f t="shared" si="6"/>
        <v>90</v>
      </c>
    </row>
    <row r="94" spans="1:26" x14ac:dyDescent="0.2">
      <c r="A94" s="11">
        <v>23</v>
      </c>
      <c r="B94" s="4">
        <v>157</v>
      </c>
      <c r="C94" s="4">
        <v>2</v>
      </c>
      <c r="D94" s="4">
        <v>2</v>
      </c>
      <c r="E94" s="4">
        <v>1</v>
      </c>
      <c r="F94" s="4">
        <v>2</v>
      </c>
      <c r="G94" t="s">
        <v>97</v>
      </c>
      <c r="H94" s="4">
        <v>4</v>
      </c>
      <c r="I94" s="4">
        <v>12</v>
      </c>
      <c r="J94" s="4">
        <v>33</v>
      </c>
      <c r="K94" s="2">
        <v>33.3333333333333</v>
      </c>
      <c r="L94" s="2">
        <v>12.1212121212121</v>
      </c>
      <c r="M94" s="2">
        <v>0.24509803921568599</v>
      </c>
      <c r="N94" s="1">
        <v>7.78998093376976E-6</v>
      </c>
      <c r="O94" s="2">
        <v>5.1084636052759196</v>
      </c>
      <c r="P94" s="2">
        <v>49.454545454545404</v>
      </c>
      <c r="Q94" s="3">
        <v>96.423184839620504</v>
      </c>
      <c r="R94" s="2">
        <v>0.45</v>
      </c>
      <c r="S94" s="2">
        <v>18.98</v>
      </c>
      <c r="T94" s="2">
        <v>1.24</v>
      </c>
      <c r="V94" s="4">
        <f t="shared" si="7"/>
        <v>44</v>
      </c>
      <c r="W94">
        <f t="shared" si="4"/>
        <v>3</v>
      </c>
      <c r="X94">
        <f t="shared" si="5"/>
        <v>1</v>
      </c>
      <c r="Y94">
        <v>93</v>
      </c>
      <c r="Z94" s="4">
        <f t="shared" si="6"/>
        <v>91</v>
      </c>
    </row>
    <row r="95" spans="1:26" x14ac:dyDescent="0.2">
      <c r="A95" s="11">
        <v>23</v>
      </c>
      <c r="B95" s="4">
        <v>657</v>
      </c>
      <c r="C95" s="4">
        <v>2</v>
      </c>
      <c r="D95" s="4">
        <v>2</v>
      </c>
      <c r="E95" s="4">
        <v>1</v>
      </c>
      <c r="F95" s="4">
        <v>1</v>
      </c>
      <c r="G95" t="s">
        <v>98</v>
      </c>
      <c r="H95" s="4">
        <v>6</v>
      </c>
      <c r="I95" s="4">
        <v>60</v>
      </c>
      <c r="J95" s="4">
        <v>12</v>
      </c>
      <c r="K95" s="2">
        <v>10</v>
      </c>
      <c r="L95" s="2">
        <v>50</v>
      </c>
      <c r="M95" s="2">
        <v>1.6438356164383501</v>
      </c>
      <c r="N95" s="1">
        <v>4.7853822923803298E-8</v>
      </c>
      <c r="O95" s="2">
        <v>7.3200833617869598</v>
      </c>
      <c r="P95" s="2">
        <v>30.4166666666666</v>
      </c>
      <c r="Q95" s="3">
        <v>130.58115868726</v>
      </c>
      <c r="R95" s="2">
        <v>0.35</v>
      </c>
      <c r="S95" s="2">
        <v>26.17</v>
      </c>
      <c r="T95" s="2">
        <v>1.71</v>
      </c>
      <c r="V95" s="4">
        <f t="shared" si="7"/>
        <v>45</v>
      </c>
      <c r="W95">
        <f t="shared" si="4"/>
        <v>3</v>
      </c>
      <c r="X95">
        <f t="shared" si="5"/>
        <v>1</v>
      </c>
      <c r="Y95">
        <v>94</v>
      </c>
      <c r="Z95" s="4">
        <f t="shared" si="6"/>
        <v>92</v>
      </c>
    </row>
    <row r="96" spans="1:26" x14ac:dyDescent="0.2">
      <c r="A96" s="11">
        <v>23</v>
      </c>
      <c r="B96" s="4">
        <v>657</v>
      </c>
      <c r="C96" s="4">
        <v>2</v>
      </c>
      <c r="D96" s="4">
        <v>2</v>
      </c>
      <c r="E96" s="4">
        <v>1</v>
      </c>
      <c r="F96" s="4">
        <v>2</v>
      </c>
      <c r="G96" t="s">
        <v>99</v>
      </c>
      <c r="H96" s="4">
        <v>6</v>
      </c>
      <c r="I96" s="4">
        <v>12</v>
      </c>
      <c r="J96" s="4">
        <v>60</v>
      </c>
      <c r="K96" s="2">
        <v>50</v>
      </c>
      <c r="L96" s="2">
        <v>10</v>
      </c>
      <c r="M96" s="2">
        <v>0.18535681186283501</v>
      </c>
      <c r="N96" s="1">
        <v>4.7853822923803198E-8</v>
      </c>
      <c r="O96" s="2">
        <v>7.3200833617869598</v>
      </c>
      <c r="P96" s="2">
        <v>53.95</v>
      </c>
      <c r="Q96" s="3">
        <v>130.58115868726</v>
      </c>
      <c r="R96" s="2">
        <v>2.85</v>
      </c>
      <c r="S96" s="2">
        <v>26.17</v>
      </c>
      <c r="T96" s="2">
        <v>1.71</v>
      </c>
      <c r="V96" s="4">
        <f t="shared" si="7"/>
        <v>45</v>
      </c>
      <c r="W96">
        <f t="shared" si="4"/>
        <v>3</v>
      </c>
      <c r="X96">
        <f t="shared" si="5"/>
        <v>1</v>
      </c>
      <c r="Y96">
        <v>95</v>
      </c>
      <c r="Z96" s="4">
        <f t="shared" si="6"/>
        <v>93</v>
      </c>
    </row>
    <row r="97" spans="1:26" x14ac:dyDescent="0.2">
      <c r="A97" s="11">
        <v>23</v>
      </c>
      <c r="B97" s="4">
        <v>842</v>
      </c>
      <c r="C97" s="4">
        <v>2</v>
      </c>
      <c r="D97" s="4">
        <v>2</v>
      </c>
      <c r="E97" s="4">
        <v>1</v>
      </c>
      <c r="F97" s="4">
        <v>1</v>
      </c>
      <c r="G97" t="s">
        <v>100</v>
      </c>
      <c r="H97" s="4">
        <v>7</v>
      </c>
      <c r="I97" s="4">
        <v>25</v>
      </c>
      <c r="J97" s="4">
        <v>69</v>
      </c>
      <c r="K97" s="2">
        <v>28</v>
      </c>
      <c r="L97" s="2">
        <v>10.144927536231799</v>
      </c>
      <c r="M97" s="2">
        <v>0.55762081784386597</v>
      </c>
      <c r="N97" s="1">
        <v>9.2103356830849401E-7</v>
      </c>
      <c r="O97" s="2">
        <v>6.0357245410675597</v>
      </c>
      <c r="P97" s="2">
        <v>18.1932367149758</v>
      </c>
      <c r="Q97" s="3">
        <v>70.2680569520967</v>
      </c>
      <c r="R97" s="2">
        <v>0.68</v>
      </c>
      <c r="S97" s="2">
        <v>21.67</v>
      </c>
      <c r="T97" s="2">
        <v>1.41</v>
      </c>
      <c r="V97" s="4">
        <f t="shared" si="7"/>
        <v>46</v>
      </c>
      <c r="W97">
        <f t="shared" si="4"/>
        <v>3</v>
      </c>
      <c r="X97">
        <f t="shared" si="5"/>
        <v>1</v>
      </c>
      <c r="Y97">
        <v>96</v>
      </c>
      <c r="Z97" s="4">
        <f t="shared" si="6"/>
        <v>94</v>
      </c>
    </row>
    <row r="98" spans="1:26" x14ac:dyDescent="0.2">
      <c r="A98" s="11">
        <v>23</v>
      </c>
      <c r="B98" s="4">
        <v>842</v>
      </c>
      <c r="C98" s="4">
        <v>2</v>
      </c>
      <c r="D98" s="4">
        <v>2</v>
      </c>
      <c r="E98" s="4">
        <v>1</v>
      </c>
      <c r="F98" s="4">
        <v>2</v>
      </c>
      <c r="G98" t="s">
        <v>101</v>
      </c>
      <c r="H98" s="4">
        <v>7</v>
      </c>
      <c r="I98" s="4">
        <v>72</v>
      </c>
      <c r="J98" s="4">
        <v>24</v>
      </c>
      <c r="K98" s="2">
        <v>9.7222222222222197</v>
      </c>
      <c r="L98" s="2">
        <v>29.1666666666666</v>
      </c>
      <c r="M98" s="2">
        <v>1.9859456156431401</v>
      </c>
      <c r="N98" s="1">
        <v>9.0804141734350005E-7</v>
      </c>
      <c r="O98" s="2">
        <v>6.0418943421027898</v>
      </c>
      <c r="P98" s="2">
        <v>14.686538461538399</v>
      </c>
      <c r="Q98" s="3">
        <v>70.168494249920599</v>
      </c>
      <c r="R98" s="2">
        <v>3.12</v>
      </c>
      <c r="S98" s="2">
        <v>21.67</v>
      </c>
      <c r="T98" s="2">
        <v>1.41</v>
      </c>
      <c r="V98" s="4">
        <f t="shared" si="7"/>
        <v>46</v>
      </c>
      <c r="W98">
        <f t="shared" si="4"/>
        <v>3</v>
      </c>
      <c r="X98">
        <f t="shared" si="5"/>
        <v>1</v>
      </c>
      <c r="Y98">
        <v>97</v>
      </c>
      <c r="Z98" s="4">
        <f t="shared" si="6"/>
        <v>95</v>
      </c>
    </row>
    <row r="99" spans="1:26" x14ac:dyDescent="0.2">
      <c r="A99" s="11">
        <v>23</v>
      </c>
      <c r="B99" s="4">
        <v>2167</v>
      </c>
      <c r="C99" s="4">
        <v>2</v>
      </c>
      <c r="D99" s="4">
        <v>2</v>
      </c>
      <c r="E99" s="4">
        <v>1</v>
      </c>
      <c r="F99" s="4">
        <v>1</v>
      </c>
      <c r="G99" t="s">
        <v>102</v>
      </c>
      <c r="H99" s="4">
        <v>5</v>
      </c>
      <c r="I99" s="4">
        <v>16</v>
      </c>
      <c r="J99" s="4">
        <v>45</v>
      </c>
      <c r="K99" s="2">
        <v>31.25</v>
      </c>
      <c r="L99" s="2">
        <v>11.1111111111111</v>
      </c>
      <c r="M99" s="2">
        <v>0.33825338253382498</v>
      </c>
      <c r="N99" s="1">
        <v>2.94843996465239E-6</v>
      </c>
      <c r="O99" s="2">
        <v>5.5304077107844698</v>
      </c>
      <c r="P99" s="2">
        <v>32.848484848484802</v>
      </c>
      <c r="Q99" s="3">
        <v>85.523161788429306</v>
      </c>
      <c r="R99" s="2">
        <v>0.5</v>
      </c>
      <c r="S99" s="2">
        <v>25</v>
      </c>
      <c r="T99" s="2">
        <v>1.63</v>
      </c>
      <c r="V99" s="4">
        <f t="shared" si="7"/>
        <v>47</v>
      </c>
      <c r="W99">
        <f t="shared" si="4"/>
        <v>3</v>
      </c>
      <c r="X99">
        <f t="shared" si="5"/>
        <v>1</v>
      </c>
      <c r="Y99">
        <v>98</v>
      </c>
      <c r="Z99" s="4">
        <f t="shared" si="6"/>
        <v>96</v>
      </c>
    </row>
    <row r="100" spans="1:26" x14ac:dyDescent="0.2">
      <c r="A100" s="11">
        <v>23</v>
      </c>
      <c r="B100" s="4">
        <v>2167</v>
      </c>
      <c r="C100" s="4">
        <v>2</v>
      </c>
      <c r="D100" s="4">
        <v>2</v>
      </c>
      <c r="E100" s="4">
        <v>1</v>
      </c>
      <c r="F100" s="4">
        <v>2</v>
      </c>
      <c r="G100" t="s">
        <v>103</v>
      </c>
      <c r="H100" s="4">
        <v>5</v>
      </c>
      <c r="I100" s="4">
        <v>46</v>
      </c>
      <c r="J100" s="4">
        <v>16</v>
      </c>
      <c r="K100" s="2">
        <v>10.869565217391299</v>
      </c>
      <c r="L100" s="2">
        <v>31.25</v>
      </c>
      <c r="M100" s="2">
        <v>1.2496190185918901</v>
      </c>
      <c r="N100" s="1">
        <v>3.29872819119032E-6</v>
      </c>
      <c r="O100" s="2">
        <v>5.4816534680040299</v>
      </c>
      <c r="P100" s="2">
        <v>25.007621951219502</v>
      </c>
      <c r="Q100" s="3">
        <v>83.500092908992002</v>
      </c>
      <c r="R100" s="2">
        <v>1.53</v>
      </c>
      <c r="S100" s="2">
        <v>25</v>
      </c>
      <c r="T100" s="2">
        <v>1.63</v>
      </c>
      <c r="V100" s="4">
        <f t="shared" si="7"/>
        <v>47</v>
      </c>
      <c r="W100">
        <f t="shared" si="4"/>
        <v>3</v>
      </c>
      <c r="X100">
        <f t="shared" si="5"/>
        <v>1</v>
      </c>
      <c r="Y100">
        <v>99</v>
      </c>
      <c r="Z100" s="4">
        <f t="shared" si="6"/>
        <v>97</v>
      </c>
    </row>
    <row r="101" spans="1:26" x14ac:dyDescent="0.2">
      <c r="A101" s="11">
        <v>24</v>
      </c>
      <c r="B101" s="4">
        <v>2523</v>
      </c>
      <c r="C101" s="4">
        <v>2</v>
      </c>
      <c r="D101" s="4">
        <v>2</v>
      </c>
      <c r="E101" s="4">
        <v>1</v>
      </c>
      <c r="F101" s="4">
        <v>1</v>
      </c>
      <c r="G101" t="s">
        <v>104</v>
      </c>
      <c r="H101" s="4">
        <v>5</v>
      </c>
      <c r="I101" s="4">
        <v>23</v>
      </c>
      <c r="J101" s="4">
        <v>36</v>
      </c>
      <c r="K101" s="2">
        <v>21.739130434782599</v>
      </c>
      <c r="L101" s="2">
        <v>13.8888888888888</v>
      </c>
      <c r="M101" s="2">
        <v>0.551977920883164</v>
      </c>
      <c r="N101" s="1">
        <v>6.8019827813451697E-6</v>
      </c>
      <c r="O101" s="2">
        <v>5.1673644717823297</v>
      </c>
      <c r="P101" s="2">
        <v>25.162037037036999</v>
      </c>
      <c r="Q101" s="3">
        <v>73.188425684566994</v>
      </c>
      <c r="R101" s="2">
        <v>2.14</v>
      </c>
      <c r="S101" s="2">
        <v>21.28</v>
      </c>
      <c r="T101" s="2">
        <v>1.39</v>
      </c>
      <c r="V101" s="4">
        <f t="shared" si="7"/>
        <v>48</v>
      </c>
      <c r="W101">
        <f t="shared" si="4"/>
        <v>3</v>
      </c>
      <c r="X101">
        <f t="shared" si="5"/>
        <v>1</v>
      </c>
      <c r="Y101">
        <v>100</v>
      </c>
      <c r="Z101" s="4">
        <f t="shared" si="6"/>
        <v>98</v>
      </c>
    </row>
    <row r="102" spans="1:26" x14ac:dyDescent="0.2">
      <c r="A102" s="11">
        <v>24</v>
      </c>
      <c r="B102" s="4">
        <v>2523</v>
      </c>
      <c r="C102" s="4">
        <v>2</v>
      </c>
      <c r="D102" s="4">
        <v>2</v>
      </c>
      <c r="E102" s="4">
        <v>1</v>
      </c>
      <c r="F102" s="4">
        <v>2</v>
      </c>
      <c r="G102" t="s">
        <v>105</v>
      </c>
      <c r="H102" s="4">
        <v>5</v>
      </c>
      <c r="I102" s="4">
        <v>37</v>
      </c>
      <c r="J102" s="4">
        <v>23</v>
      </c>
      <c r="K102" s="2">
        <v>13.5135135135135</v>
      </c>
      <c r="L102" s="2">
        <v>21.739130434782599</v>
      </c>
      <c r="M102" s="2">
        <v>0.97739767868051297</v>
      </c>
      <c r="N102" s="1">
        <v>7.8288156348806501E-6</v>
      </c>
      <c r="O102" s="2">
        <v>5.1063039342563696</v>
      </c>
      <c r="P102" s="2">
        <v>22.2418478260869</v>
      </c>
      <c r="Q102" s="3">
        <v>70.998489160444905</v>
      </c>
      <c r="R102" s="2">
        <v>4.57</v>
      </c>
      <c r="S102" s="2">
        <v>21.28</v>
      </c>
      <c r="T102" s="2">
        <v>1.39</v>
      </c>
      <c r="V102" s="4">
        <f t="shared" si="7"/>
        <v>48</v>
      </c>
      <c r="W102">
        <f t="shared" si="4"/>
        <v>3</v>
      </c>
      <c r="X102">
        <f t="shared" si="5"/>
        <v>1</v>
      </c>
      <c r="Y102">
        <v>101</v>
      </c>
      <c r="Z102" s="4">
        <f t="shared" si="6"/>
        <v>99</v>
      </c>
    </row>
    <row r="103" spans="1:26" x14ac:dyDescent="0.2">
      <c r="A103" s="11">
        <v>25</v>
      </c>
      <c r="B103" s="4">
        <v>2472</v>
      </c>
      <c r="C103" s="4">
        <v>2</v>
      </c>
      <c r="D103" s="4">
        <v>2</v>
      </c>
      <c r="E103" s="4">
        <v>1</v>
      </c>
      <c r="F103" s="4">
        <v>1</v>
      </c>
      <c r="G103" t="s">
        <v>106</v>
      </c>
      <c r="H103" s="4">
        <v>4</v>
      </c>
      <c r="I103" s="4">
        <v>11</v>
      </c>
      <c r="J103" s="4">
        <v>34</v>
      </c>
      <c r="K103" s="2">
        <v>36.363636363636303</v>
      </c>
      <c r="L103" s="2">
        <v>11.764705882352899</v>
      </c>
      <c r="M103" s="2">
        <v>0.214526509347226</v>
      </c>
      <c r="N103" s="1">
        <v>5.91737752178376E-6</v>
      </c>
      <c r="O103" s="2">
        <v>5.2278707223577197</v>
      </c>
      <c r="P103" s="2">
        <v>54.8403361344537</v>
      </c>
      <c r="Q103" s="3">
        <v>102.49886677016799</v>
      </c>
      <c r="R103" s="2">
        <v>1.07</v>
      </c>
      <c r="S103" s="2">
        <v>24.63</v>
      </c>
      <c r="T103" s="2">
        <v>1.61</v>
      </c>
      <c r="V103" s="4">
        <f t="shared" si="7"/>
        <v>49</v>
      </c>
      <c r="W103">
        <f t="shared" si="4"/>
        <v>3</v>
      </c>
      <c r="X103">
        <f t="shared" si="5"/>
        <v>1</v>
      </c>
      <c r="Y103">
        <v>102</v>
      </c>
      <c r="Z103" s="4">
        <f t="shared" si="6"/>
        <v>100</v>
      </c>
    </row>
    <row r="104" spans="1:26" x14ac:dyDescent="0.2">
      <c r="A104" s="11">
        <v>25</v>
      </c>
      <c r="B104" s="4">
        <v>2472</v>
      </c>
      <c r="C104" s="4">
        <v>2</v>
      </c>
      <c r="D104" s="4">
        <v>2</v>
      </c>
      <c r="E104" s="4">
        <v>1</v>
      </c>
      <c r="F104" s="4">
        <v>2</v>
      </c>
      <c r="G104" t="s">
        <v>57</v>
      </c>
      <c r="H104" s="4">
        <v>4</v>
      </c>
      <c r="I104" s="4">
        <v>35</v>
      </c>
      <c r="J104" s="4">
        <v>11</v>
      </c>
      <c r="K104" s="2">
        <v>11.4285714285714</v>
      </c>
      <c r="L104" s="2">
        <v>36.363636363636303</v>
      </c>
      <c r="M104" s="2">
        <v>0.94339622641509402</v>
      </c>
      <c r="N104" s="1">
        <v>6.6694865900475102E-6</v>
      </c>
      <c r="O104" s="2">
        <v>5.1759075963220003</v>
      </c>
      <c r="P104" s="2">
        <v>38.545454545454497</v>
      </c>
      <c r="Q104" s="3">
        <v>99.404699660461404</v>
      </c>
      <c r="R104" s="2">
        <v>2.04</v>
      </c>
      <c r="S104" s="2">
        <v>24.63</v>
      </c>
      <c r="T104" s="2">
        <v>1.61</v>
      </c>
      <c r="V104" s="4">
        <f t="shared" si="7"/>
        <v>49</v>
      </c>
      <c r="W104">
        <f t="shared" si="4"/>
        <v>3</v>
      </c>
      <c r="X104">
        <f t="shared" si="5"/>
        <v>1</v>
      </c>
      <c r="Y104">
        <v>103</v>
      </c>
      <c r="Z104" s="4">
        <f t="shared" si="6"/>
        <v>101</v>
      </c>
    </row>
    <row r="105" spans="1:26" x14ac:dyDescent="0.2">
      <c r="A105" s="11">
        <v>26</v>
      </c>
      <c r="B105" s="4">
        <v>412</v>
      </c>
      <c r="C105" s="4">
        <v>2</v>
      </c>
      <c r="D105" s="4">
        <v>2</v>
      </c>
      <c r="E105" s="4">
        <v>1</v>
      </c>
      <c r="F105" s="4">
        <v>1</v>
      </c>
      <c r="G105" t="s">
        <v>107</v>
      </c>
      <c r="H105" s="4">
        <v>6</v>
      </c>
      <c r="I105" s="4">
        <v>85</v>
      </c>
      <c r="J105" s="4">
        <v>16</v>
      </c>
      <c r="K105" s="2">
        <v>7.0588235294117601</v>
      </c>
      <c r="L105" s="2">
        <v>37.5</v>
      </c>
      <c r="M105" s="2">
        <v>2.4078024992380298</v>
      </c>
      <c r="N105" s="1">
        <v>3.20453485141635E-6</v>
      </c>
      <c r="O105" s="2">
        <v>5.4942350008171497</v>
      </c>
      <c r="P105" s="2">
        <v>15.574367088607501</v>
      </c>
      <c r="Q105" s="3">
        <v>64.721065409431802</v>
      </c>
      <c r="R105" s="2">
        <v>28.79</v>
      </c>
      <c r="S105" s="2">
        <v>20.99</v>
      </c>
      <c r="T105" s="2">
        <v>1.37</v>
      </c>
      <c r="V105" s="4">
        <f t="shared" si="7"/>
        <v>50</v>
      </c>
      <c r="W105">
        <f t="shared" si="4"/>
        <v>3</v>
      </c>
      <c r="X105">
        <f t="shared" si="5"/>
        <v>1</v>
      </c>
      <c r="Y105">
        <v>104</v>
      </c>
      <c r="Z105" s="4">
        <f t="shared" si="6"/>
        <v>102</v>
      </c>
    </row>
    <row r="106" spans="1:26" x14ac:dyDescent="0.2">
      <c r="A106" s="11">
        <v>26</v>
      </c>
      <c r="B106" s="4">
        <v>412</v>
      </c>
      <c r="C106" s="4">
        <v>2</v>
      </c>
      <c r="D106" s="4">
        <v>2</v>
      </c>
      <c r="E106" s="4">
        <v>1</v>
      </c>
      <c r="F106" s="4">
        <v>2</v>
      </c>
      <c r="G106" t="s">
        <v>108</v>
      </c>
      <c r="H106" s="4">
        <v>6</v>
      </c>
      <c r="I106" s="4">
        <v>16</v>
      </c>
      <c r="J106" s="4">
        <v>84</v>
      </c>
      <c r="K106" s="2">
        <v>37.5</v>
      </c>
      <c r="L106" s="2">
        <v>7.1428571428571397</v>
      </c>
      <c r="M106" s="2">
        <v>0.31123560535325201</v>
      </c>
      <c r="N106" s="1">
        <v>2.98623922852875E-6</v>
      </c>
      <c r="O106" s="2">
        <v>5.5248754037549004</v>
      </c>
      <c r="P106" s="2">
        <v>22.95</v>
      </c>
      <c r="Q106" s="3">
        <v>65.596134565434596</v>
      </c>
      <c r="R106" s="2">
        <v>3.05</v>
      </c>
      <c r="S106" s="2">
        <v>20.99</v>
      </c>
      <c r="T106" s="2">
        <v>1.37</v>
      </c>
      <c r="V106" s="4">
        <f t="shared" si="7"/>
        <v>50</v>
      </c>
      <c r="W106">
        <f t="shared" si="4"/>
        <v>3</v>
      </c>
      <c r="X106">
        <f t="shared" si="5"/>
        <v>1</v>
      </c>
      <c r="Y106">
        <v>105</v>
      </c>
      <c r="Z106" s="4">
        <f t="shared" si="6"/>
        <v>103</v>
      </c>
    </row>
    <row r="107" spans="1:26" x14ac:dyDescent="0.2">
      <c r="A107" s="11">
        <v>26</v>
      </c>
      <c r="B107" s="4">
        <v>464</v>
      </c>
      <c r="C107" s="4">
        <v>2</v>
      </c>
      <c r="D107" s="4">
        <v>2</v>
      </c>
      <c r="E107" s="4">
        <v>1</v>
      </c>
      <c r="F107" s="4">
        <v>1</v>
      </c>
      <c r="G107" t="s">
        <v>109</v>
      </c>
      <c r="H107" s="4">
        <v>5</v>
      </c>
      <c r="I107" s="4">
        <v>54</v>
      </c>
      <c r="J107" s="4">
        <v>10</v>
      </c>
      <c r="K107" s="2">
        <v>9.2592592592592595</v>
      </c>
      <c r="L107" s="2">
        <v>50</v>
      </c>
      <c r="M107" s="2">
        <v>1.4907210222087</v>
      </c>
      <c r="N107" s="1">
        <v>4.6266782829010202E-7</v>
      </c>
      <c r="O107" s="2">
        <v>6.3347306982131801</v>
      </c>
      <c r="P107" s="2">
        <v>33.540816326530603</v>
      </c>
      <c r="Q107" s="3">
        <v>117.06794416839</v>
      </c>
      <c r="R107" s="2">
        <v>2.46</v>
      </c>
      <c r="S107" s="2">
        <v>19.53</v>
      </c>
      <c r="T107" s="2">
        <v>1.27</v>
      </c>
      <c r="V107" s="4">
        <f t="shared" si="7"/>
        <v>51</v>
      </c>
      <c r="W107">
        <f t="shared" si="4"/>
        <v>3</v>
      </c>
      <c r="X107">
        <f t="shared" si="5"/>
        <v>1</v>
      </c>
      <c r="Y107">
        <v>106</v>
      </c>
      <c r="Z107" s="4">
        <f t="shared" si="6"/>
        <v>104</v>
      </c>
    </row>
    <row r="108" spans="1:26" x14ac:dyDescent="0.2">
      <c r="A108" s="11">
        <v>26</v>
      </c>
      <c r="B108" s="4">
        <v>464</v>
      </c>
      <c r="C108" s="4">
        <v>2</v>
      </c>
      <c r="D108" s="4">
        <v>2</v>
      </c>
      <c r="E108" s="4">
        <v>1</v>
      </c>
      <c r="F108" s="4">
        <v>2</v>
      </c>
      <c r="G108" t="s">
        <v>110</v>
      </c>
      <c r="H108" s="4">
        <v>5</v>
      </c>
      <c r="I108" s="4">
        <v>10</v>
      </c>
      <c r="J108" s="4">
        <v>54</v>
      </c>
      <c r="K108" s="2">
        <v>50</v>
      </c>
      <c r="L108" s="2">
        <v>9.2592592592592595</v>
      </c>
      <c r="M108" s="2">
        <v>0.15417823003391901</v>
      </c>
      <c r="N108" s="1">
        <v>4.6266782829010202E-7</v>
      </c>
      <c r="O108" s="2">
        <v>6.3347306982131801</v>
      </c>
      <c r="P108" s="2">
        <v>60.0555555555555</v>
      </c>
      <c r="Q108" s="3">
        <v>117.06794416839</v>
      </c>
      <c r="R108" s="2">
        <v>0.7</v>
      </c>
      <c r="S108" s="2">
        <v>19.53</v>
      </c>
      <c r="T108" s="2">
        <v>1.27</v>
      </c>
      <c r="V108" s="4">
        <f t="shared" si="7"/>
        <v>51</v>
      </c>
      <c r="W108">
        <f t="shared" si="4"/>
        <v>3</v>
      </c>
      <c r="X108">
        <f t="shared" si="5"/>
        <v>1</v>
      </c>
      <c r="Y108">
        <v>107</v>
      </c>
      <c r="Z108" s="4">
        <f t="shared" si="6"/>
        <v>105</v>
      </c>
    </row>
    <row r="109" spans="1:26" x14ac:dyDescent="0.2">
      <c r="A109" s="11">
        <v>27</v>
      </c>
      <c r="B109" s="4">
        <v>2932</v>
      </c>
      <c r="C109" s="4">
        <v>2</v>
      </c>
      <c r="D109" s="4">
        <v>2</v>
      </c>
      <c r="E109" s="4">
        <v>1</v>
      </c>
      <c r="F109" s="4">
        <v>1</v>
      </c>
      <c r="G109" t="s">
        <v>111</v>
      </c>
      <c r="H109" s="4">
        <v>4</v>
      </c>
      <c r="I109" s="4">
        <v>16</v>
      </c>
      <c r="J109" s="4">
        <v>21</v>
      </c>
      <c r="K109" s="2">
        <v>25</v>
      </c>
      <c r="L109" s="2">
        <v>19.047619047619001</v>
      </c>
      <c r="M109" s="2">
        <v>0.366300366300366</v>
      </c>
      <c r="N109" s="1">
        <v>4.2180734212810501E-6</v>
      </c>
      <c r="O109" s="2">
        <v>5.3748858650470499</v>
      </c>
      <c r="P109" s="2">
        <v>52</v>
      </c>
      <c r="Q109" s="3">
        <v>114.58743111196701</v>
      </c>
      <c r="R109" s="2">
        <v>0.18</v>
      </c>
      <c r="S109" s="2">
        <v>26.79</v>
      </c>
      <c r="T109" s="2">
        <v>1.75</v>
      </c>
      <c r="V109" s="4">
        <f t="shared" si="7"/>
        <v>52</v>
      </c>
      <c r="W109">
        <f t="shared" si="4"/>
        <v>3</v>
      </c>
      <c r="X109">
        <f t="shared" si="5"/>
        <v>1</v>
      </c>
      <c r="Y109">
        <v>108</v>
      </c>
      <c r="Z109" s="4">
        <f t="shared" si="6"/>
        <v>106</v>
      </c>
    </row>
    <row r="110" spans="1:26" x14ac:dyDescent="0.2">
      <c r="A110" s="11">
        <v>27</v>
      </c>
      <c r="B110" s="4">
        <v>2932</v>
      </c>
      <c r="C110" s="4">
        <v>2</v>
      </c>
      <c r="D110" s="4">
        <v>2</v>
      </c>
      <c r="E110" s="4">
        <v>1</v>
      </c>
      <c r="F110" s="4">
        <v>2</v>
      </c>
      <c r="G110" t="s">
        <v>112</v>
      </c>
      <c r="H110" s="4">
        <v>4</v>
      </c>
      <c r="I110" s="4">
        <v>21</v>
      </c>
      <c r="J110" s="4">
        <v>16</v>
      </c>
      <c r="K110" s="2">
        <v>19.047619047619001</v>
      </c>
      <c r="L110" s="2">
        <v>25</v>
      </c>
      <c r="M110" s="2">
        <v>0.51813471502590602</v>
      </c>
      <c r="N110" s="1">
        <v>4.2180734212810501E-6</v>
      </c>
      <c r="O110" s="2">
        <v>5.3748858650470499</v>
      </c>
      <c r="P110" s="2">
        <v>48.25</v>
      </c>
      <c r="Q110" s="3">
        <v>114.58743111196701</v>
      </c>
      <c r="R110" s="2">
        <v>0.32</v>
      </c>
      <c r="S110" s="2">
        <v>26.79</v>
      </c>
      <c r="T110" s="2">
        <v>1.75</v>
      </c>
      <c r="V110" s="4">
        <f t="shared" si="7"/>
        <v>52</v>
      </c>
      <c r="W110">
        <f t="shared" si="4"/>
        <v>3</v>
      </c>
      <c r="X110">
        <f t="shared" si="5"/>
        <v>1</v>
      </c>
      <c r="Y110">
        <v>109</v>
      </c>
      <c r="Z110" s="4">
        <f t="shared" si="6"/>
        <v>107</v>
      </c>
    </row>
    <row r="111" spans="1:26" x14ac:dyDescent="0.2">
      <c r="A111" s="11">
        <v>28</v>
      </c>
      <c r="B111" s="4">
        <v>131</v>
      </c>
      <c r="C111" s="4">
        <v>2</v>
      </c>
      <c r="D111" s="4">
        <v>2</v>
      </c>
      <c r="E111" s="4">
        <v>1</v>
      </c>
      <c r="F111" s="4">
        <v>1</v>
      </c>
      <c r="G111" t="s">
        <v>113</v>
      </c>
      <c r="H111" s="4">
        <v>10</v>
      </c>
      <c r="I111" s="4">
        <v>39</v>
      </c>
      <c r="J111" s="4">
        <v>107</v>
      </c>
      <c r="K111" s="2">
        <v>25.6410256410256</v>
      </c>
      <c r="L111" s="2">
        <v>9.3457943925233593</v>
      </c>
      <c r="M111" s="2">
        <v>0.90909090909090895</v>
      </c>
      <c r="N111" s="1">
        <v>4.9193614580507405E-7</v>
      </c>
      <c r="O111" s="2">
        <v>6.3080912657778097</v>
      </c>
      <c r="P111" s="2">
        <v>10.2803738317757</v>
      </c>
      <c r="Q111" s="3">
        <v>56.029981308180801</v>
      </c>
      <c r="R111" s="2">
        <v>0.98</v>
      </c>
      <c r="S111" s="2">
        <v>21.4</v>
      </c>
      <c r="T111" s="2">
        <v>1.39</v>
      </c>
      <c r="V111" s="4">
        <f t="shared" si="7"/>
        <v>53</v>
      </c>
      <c r="W111">
        <f t="shared" si="4"/>
        <v>3</v>
      </c>
      <c r="X111">
        <f t="shared" si="5"/>
        <v>1</v>
      </c>
      <c r="Y111">
        <v>110</v>
      </c>
      <c r="Z111" s="4">
        <f t="shared" si="6"/>
        <v>108</v>
      </c>
    </row>
    <row r="112" spans="1:26" x14ac:dyDescent="0.2">
      <c r="A112" s="11">
        <v>28</v>
      </c>
      <c r="B112" s="4">
        <v>131</v>
      </c>
      <c r="C112" s="4">
        <v>2</v>
      </c>
      <c r="D112" s="4">
        <v>2</v>
      </c>
      <c r="E112" s="4">
        <v>1</v>
      </c>
      <c r="F112" s="4">
        <v>2</v>
      </c>
      <c r="G112" t="s">
        <v>114</v>
      </c>
      <c r="H112" s="4">
        <v>10</v>
      </c>
      <c r="I112" s="4">
        <v>109</v>
      </c>
      <c r="J112" s="4">
        <v>39</v>
      </c>
      <c r="K112" s="2">
        <v>9.1743119266054993</v>
      </c>
      <c r="L112" s="2">
        <v>25.6410256410256</v>
      </c>
      <c r="M112" s="2">
        <v>3.03867403314917</v>
      </c>
      <c r="N112" s="1">
        <v>5.8716409116042702E-7</v>
      </c>
      <c r="O112" s="2">
        <v>6.2312405121651002</v>
      </c>
      <c r="P112" s="2">
        <v>8.4382284382284301</v>
      </c>
      <c r="Q112" s="3">
        <v>54.720619349935802</v>
      </c>
      <c r="R112" s="2">
        <v>6.05</v>
      </c>
      <c r="S112" s="2">
        <v>21.4</v>
      </c>
      <c r="T112" s="2">
        <v>1.39</v>
      </c>
      <c r="V112" s="4">
        <f t="shared" si="7"/>
        <v>53</v>
      </c>
      <c r="W112">
        <f t="shared" si="4"/>
        <v>3</v>
      </c>
      <c r="X112">
        <f t="shared" si="5"/>
        <v>1</v>
      </c>
      <c r="Y112">
        <v>111</v>
      </c>
      <c r="Z112" s="4">
        <f t="shared" si="6"/>
        <v>109</v>
      </c>
    </row>
    <row r="113" spans="1:26" x14ac:dyDescent="0.2">
      <c r="A113" s="11">
        <v>28</v>
      </c>
      <c r="B113" s="4">
        <v>597</v>
      </c>
      <c r="C113" s="4">
        <v>2</v>
      </c>
      <c r="D113" s="4">
        <v>2</v>
      </c>
      <c r="E113" s="4">
        <v>1</v>
      </c>
      <c r="F113" s="4">
        <v>1</v>
      </c>
      <c r="G113" t="s">
        <v>115</v>
      </c>
      <c r="H113" s="4">
        <v>5</v>
      </c>
      <c r="I113" s="4">
        <v>9</v>
      </c>
      <c r="J113" s="4">
        <v>73</v>
      </c>
      <c r="K113" s="2">
        <v>55.5555555555555</v>
      </c>
      <c r="L113" s="2">
        <v>6.8493150684931496</v>
      </c>
      <c r="M113" s="2">
        <v>0.12406947890818799</v>
      </c>
      <c r="N113" s="1">
        <v>1.0910191387957999E-6</v>
      </c>
      <c r="O113" s="2">
        <v>5.9621676308960696</v>
      </c>
      <c r="P113" s="2">
        <v>55.205479452054703</v>
      </c>
      <c r="Q113" s="3">
        <v>95.180628776258501</v>
      </c>
      <c r="R113" s="2">
        <v>4.8499999999999996</v>
      </c>
      <c r="S113" s="2">
        <v>24.43</v>
      </c>
      <c r="T113" s="2">
        <v>1.59</v>
      </c>
      <c r="V113" s="4">
        <f t="shared" si="7"/>
        <v>54</v>
      </c>
      <c r="W113">
        <f t="shared" si="4"/>
        <v>3</v>
      </c>
      <c r="X113">
        <f t="shared" si="5"/>
        <v>1</v>
      </c>
      <c r="Y113">
        <v>112</v>
      </c>
      <c r="Z113" s="4">
        <f t="shared" si="6"/>
        <v>110</v>
      </c>
    </row>
    <row r="114" spans="1:26" x14ac:dyDescent="0.2">
      <c r="A114" s="11">
        <v>28</v>
      </c>
      <c r="B114" s="4">
        <v>597</v>
      </c>
      <c r="C114" s="4">
        <v>2</v>
      </c>
      <c r="D114" s="4">
        <v>2</v>
      </c>
      <c r="E114" s="4">
        <v>1</v>
      </c>
      <c r="F114" s="4">
        <v>2</v>
      </c>
      <c r="G114" t="s">
        <v>50</v>
      </c>
      <c r="H114" s="4">
        <v>5</v>
      </c>
      <c r="I114" s="4">
        <v>74</v>
      </c>
      <c r="J114" s="4">
        <v>9</v>
      </c>
      <c r="K114" s="2">
        <v>6.7567567567567499</v>
      </c>
      <c r="L114" s="2">
        <v>55.5555555555555</v>
      </c>
      <c r="M114" s="2">
        <v>2.0985401459854001</v>
      </c>
      <c r="N114" s="1">
        <v>1.1688748280052E-6</v>
      </c>
      <c r="O114" s="2">
        <v>5.9322319938999604</v>
      </c>
      <c r="P114" s="2">
        <v>26.4734299516908</v>
      </c>
      <c r="Q114" s="3">
        <v>93.804344380277797</v>
      </c>
      <c r="R114" s="2">
        <v>1.37</v>
      </c>
      <c r="S114" s="2">
        <v>24.43</v>
      </c>
      <c r="T114" s="2">
        <v>1.59</v>
      </c>
      <c r="V114" s="4">
        <f t="shared" si="7"/>
        <v>54</v>
      </c>
      <c r="W114">
        <f t="shared" si="4"/>
        <v>3</v>
      </c>
      <c r="X114">
        <f t="shared" si="5"/>
        <v>1</v>
      </c>
      <c r="Y114">
        <v>113</v>
      </c>
      <c r="Z114" s="4">
        <f t="shared" si="6"/>
        <v>111</v>
      </c>
    </row>
    <row r="115" spans="1:26" x14ac:dyDescent="0.2">
      <c r="A115" s="11">
        <v>28</v>
      </c>
      <c r="B115" s="4">
        <v>958</v>
      </c>
      <c r="C115" s="4">
        <v>2</v>
      </c>
      <c r="D115" s="4">
        <v>2</v>
      </c>
      <c r="E115" s="4">
        <v>1</v>
      </c>
      <c r="F115" s="4">
        <v>1</v>
      </c>
      <c r="G115" t="s">
        <v>116</v>
      </c>
      <c r="H115" s="4">
        <v>4</v>
      </c>
      <c r="I115" s="4">
        <v>13</v>
      </c>
      <c r="J115" s="4">
        <v>27</v>
      </c>
      <c r="K115" s="2">
        <v>30.769230769230699</v>
      </c>
      <c r="L115" s="2">
        <v>14.814814814814801</v>
      </c>
      <c r="M115" s="2">
        <v>0.27522935779816499</v>
      </c>
      <c r="N115" s="1">
        <v>4.8555276509669801E-6</v>
      </c>
      <c r="O115" s="2">
        <v>5.3137635683405904</v>
      </c>
      <c r="P115" s="2">
        <v>53.827160493827101</v>
      </c>
      <c r="Q115" s="3">
        <v>109.497615555313</v>
      </c>
      <c r="R115" s="2">
        <v>0.82</v>
      </c>
      <c r="S115" s="2">
        <v>23.44</v>
      </c>
      <c r="T115" s="2">
        <v>1.53</v>
      </c>
      <c r="V115" s="4">
        <f t="shared" si="7"/>
        <v>55</v>
      </c>
      <c r="W115">
        <f t="shared" si="4"/>
        <v>3</v>
      </c>
      <c r="X115">
        <f t="shared" si="5"/>
        <v>1</v>
      </c>
      <c r="Y115">
        <v>114</v>
      </c>
      <c r="Z115" s="4">
        <f t="shared" si="6"/>
        <v>112</v>
      </c>
    </row>
    <row r="116" spans="1:26" x14ac:dyDescent="0.2">
      <c r="A116" s="11">
        <v>28</v>
      </c>
      <c r="B116" s="4">
        <v>958</v>
      </c>
      <c r="C116" s="4">
        <v>2</v>
      </c>
      <c r="D116" s="4">
        <v>2</v>
      </c>
      <c r="E116" s="4">
        <v>1</v>
      </c>
      <c r="F116" s="4">
        <v>2</v>
      </c>
      <c r="G116" t="s">
        <v>117</v>
      </c>
      <c r="H116" s="4">
        <v>4</v>
      </c>
      <c r="I116" s="4">
        <v>28</v>
      </c>
      <c r="J116" s="4">
        <v>13</v>
      </c>
      <c r="K116" s="2">
        <v>14.285714285714199</v>
      </c>
      <c r="L116" s="2">
        <v>30.769230769230699</v>
      </c>
      <c r="M116" s="2">
        <v>0.73081607795371495</v>
      </c>
      <c r="N116" s="1">
        <v>5.6523504963002396E-6</v>
      </c>
      <c r="O116" s="2">
        <v>5.2477709158451402</v>
      </c>
      <c r="P116" s="2">
        <v>42.102564102564102</v>
      </c>
      <c r="Q116" s="3">
        <v>105.37398885129799</v>
      </c>
      <c r="R116" s="2">
        <v>999</v>
      </c>
      <c r="S116" s="2">
        <v>23.44</v>
      </c>
      <c r="T116" s="2">
        <v>1.53</v>
      </c>
      <c r="V116" s="4">
        <f t="shared" si="7"/>
        <v>55</v>
      </c>
      <c r="W116">
        <f t="shared" si="4"/>
        <v>3</v>
      </c>
      <c r="X116">
        <f t="shared" si="5"/>
        <v>1</v>
      </c>
      <c r="Y116">
        <v>115</v>
      </c>
      <c r="Z116" s="4">
        <f t="shared" si="6"/>
        <v>113</v>
      </c>
    </row>
    <row r="117" spans="1:26" x14ac:dyDescent="0.2">
      <c r="A117" s="11">
        <v>28</v>
      </c>
      <c r="B117" s="4">
        <v>1576</v>
      </c>
      <c r="C117" s="4">
        <v>2</v>
      </c>
      <c r="D117" s="4">
        <v>2</v>
      </c>
      <c r="E117" s="4">
        <v>1</v>
      </c>
      <c r="F117" s="4">
        <v>1</v>
      </c>
      <c r="G117" t="s">
        <v>104</v>
      </c>
      <c r="H117" s="4">
        <v>4</v>
      </c>
      <c r="I117" s="4">
        <v>23</v>
      </c>
      <c r="J117" s="4">
        <v>5</v>
      </c>
      <c r="K117" s="2">
        <v>17.391304347826001</v>
      </c>
      <c r="L117" s="2">
        <v>80</v>
      </c>
      <c r="M117" s="2">
        <v>0.57715674362089897</v>
      </c>
      <c r="N117" s="1">
        <v>1.7935164464689102E-8</v>
      </c>
      <c r="O117" s="2">
        <v>7.7462946365079697</v>
      </c>
      <c r="P117" s="2">
        <v>138.610526315789</v>
      </c>
      <c r="Q117" s="3">
        <v>347.181846932116</v>
      </c>
      <c r="R117" s="2">
        <v>2.14</v>
      </c>
      <c r="S117" s="2">
        <v>18.13</v>
      </c>
      <c r="T117" s="2">
        <v>1.18</v>
      </c>
      <c r="V117" s="4">
        <f t="shared" si="7"/>
        <v>56</v>
      </c>
      <c r="W117">
        <f t="shared" si="4"/>
        <v>3</v>
      </c>
      <c r="X117">
        <f t="shared" si="5"/>
        <v>1</v>
      </c>
      <c r="Y117">
        <v>116</v>
      </c>
      <c r="Z117" s="4">
        <f t="shared" si="6"/>
        <v>114</v>
      </c>
    </row>
    <row r="118" spans="1:26" x14ac:dyDescent="0.2">
      <c r="A118" s="11">
        <v>28</v>
      </c>
      <c r="B118" s="4">
        <v>1576</v>
      </c>
      <c r="C118" s="4">
        <v>2</v>
      </c>
      <c r="D118" s="4">
        <v>2</v>
      </c>
      <c r="E118" s="4">
        <v>1</v>
      </c>
      <c r="F118" s="4">
        <v>2</v>
      </c>
      <c r="G118" t="s">
        <v>118</v>
      </c>
      <c r="H118" s="4">
        <v>4</v>
      </c>
      <c r="I118" s="4">
        <v>5</v>
      </c>
      <c r="J118" s="4">
        <v>22</v>
      </c>
      <c r="K118" s="2">
        <v>80</v>
      </c>
      <c r="L118" s="2">
        <v>18.181818181818102</v>
      </c>
      <c r="M118" s="2">
        <v>3.0534351145038101E-2</v>
      </c>
      <c r="N118" s="1">
        <v>1.48196215126352E-8</v>
      </c>
      <c r="O118" s="2">
        <v>7.8291628879270698</v>
      </c>
      <c r="P118" s="2">
        <v>595.45454545454504</v>
      </c>
      <c r="Q118" s="3">
        <v>363.16968978631297</v>
      </c>
      <c r="R118" s="2">
        <v>0.28000000000000003</v>
      </c>
      <c r="S118" s="2">
        <v>18.13</v>
      </c>
      <c r="T118" s="2">
        <v>1.18</v>
      </c>
      <c r="V118" s="4">
        <f t="shared" si="7"/>
        <v>56</v>
      </c>
      <c r="W118">
        <f t="shared" si="4"/>
        <v>3</v>
      </c>
      <c r="X118">
        <f t="shared" si="5"/>
        <v>1</v>
      </c>
      <c r="Y118">
        <v>117</v>
      </c>
      <c r="Z118" s="4">
        <f t="shared" si="6"/>
        <v>115</v>
      </c>
    </row>
    <row r="119" spans="1:26" x14ac:dyDescent="0.2">
      <c r="A119" s="11">
        <v>28</v>
      </c>
      <c r="B119" s="4">
        <v>1910</v>
      </c>
      <c r="C119" s="4">
        <v>2</v>
      </c>
      <c r="D119" s="4">
        <v>2</v>
      </c>
      <c r="E119" s="4">
        <v>1</v>
      </c>
      <c r="F119" s="4">
        <v>1</v>
      </c>
      <c r="G119" t="s">
        <v>119</v>
      </c>
      <c r="H119" s="4">
        <v>5</v>
      </c>
      <c r="I119" s="4">
        <v>115</v>
      </c>
      <c r="J119" s="4">
        <v>8</v>
      </c>
      <c r="K119" s="2">
        <v>4.3478260869565197</v>
      </c>
      <c r="L119" s="2">
        <v>62.5</v>
      </c>
      <c r="M119" s="2">
        <v>3.3444816053511701</v>
      </c>
      <c r="N119" s="1">
        <v>4.8796691393186496E-6</v>
      </c>
      <c r="O119" s="2">
        <v>5.3116096238660298</v>
      </c>
      <c r="P119" s="2">
        <v>18.6875</v>
      </c>
      <c r="Q119" s="3">
        <v>66.317343147836795</v>
      </c>
      <c r="R119" s="2">
        <v>999</v>
      </c>
      <c r="S119" s="2">
        <v>19.25</v>
      </c>
      <c r="T119" s="2">
        <v>1.25</v>
      </c>
      <c r="V119" s="4">
        <f t="shared" si="7"/>
        <v>57</v>
      </c>
      <c r="W119">
        <f t="shared" si="4"/>
        <v>3</v>
      </c>
      <c r="X119">
        <f t="shared" si="5"/>
        <v>1</v>
      </c>
      <c r="Y119">
        <v>118</v>
      </c>
      <c r="Z119" s="4">
        <f t="shared" si="6"/>
        <v>116</v>
      </c>
    </row>
    <row r="120" spans="1:26" x14ac:dyDescent="0.2">
      <c r="A120" s="11">
        <v>28</v>
      </c>
      <c r="B120" s="4">
        <v>1910</v>
      </c>
      <c r="C120" s="4">
        <v>2</v>
      </c>
      <c r="D120" s="4">
        <v>2</v>
      </c>
      <c r="E120" s="4">
        <v>1</v>
      </c>
      <c r="F120" s="4">
        <v>2</v>
      </c>
      <c r="G120" t="s">
        <v>120</v>
      </c>
      <c r="H120" s="4">
        <v>5</v>
      </c>
      <c r="I120" s="4">
        <v>8</v>
      </c>
      <c r="J120" s="4">
        <v>114</v>
      </c>
      <c r="K120" s="2">
        <v>62.5</v>
      </c>
      <c r="L120" s="2">
        <v>4.3859649122807003</v>
      </c>
      <c r="M120" s="2">
        <v>9.4250706880301599E-2</v>
      </c>
      <c r="N120" s="1">
        <v>4.67115150637008E-6</v>
      </c>
      <c r="O120" s="2">
        <v>5.3305760463680798</v>
      </c>
      <c r="P120" s="2">
        <v>46.535087719298197</v>
      </c>
      <c r="Q120" s="3">
        <v>66.954969374449405</v>
      </c>
      <c r="R120" s="2">
        <v>1.32</v>
      </c>
      <c r="S120" s="2">
        <v>19.25</v>
      </c>
      <c r="T120" s="2">
        <v>1.25</v>
      </c>
      <c r="V120" s="4">
        <f t="shared" si="7"/>
        <v>57</v>
      </c>
      <c r="W120">
        <f t="shared" si="4"/>
        <v>3</v>
      </c>
      <c r="X120">
        <f t="shared" si="5"/>
        <v>1</v>
      </c>
      <c r="Y120">
        <v>119</v>
      </c>
      <c r="Z120" s="4">
        <f t="shared" si="6"/>
        <v>117</v>
      </c>
    </row>
    <row r="121" spans="1:26" x14ac:dyDescent="0.2">
      <c r="A121" s="11">
        <v>28</v>
      </c>
      <c r="B121" s="4">
        <v>2198</v>
      </c>
      <c r="C121" s="4">
        <v>2</v>
      </c>
      <c r="D121" s="4">
        <v>2</v>
      </c>
      <c r="E121" s="4">
        <v>1</v>
      </c>
      <c r="F121" s="4">
        <v>1</v>
      </c>
      <c r="G121" t="s">
        <v>121</v>
      </c>
      <c r="H121" s="4">
        <v>4</v>
      </c>
      <c r="I121" s="4">
        <v>5</v>
      </c>
      <c r="J121" s="4">
        <v>74</v>
      </c>
      <c r="K121" s="2">
        <v>80</v>
      </c>
      <c r="L121" s="2">
        <v>5.4054054054053999</v>
      </c>
      <c r="M121" s="2">
        <v>3.10269934843313E-2</v>
      </c>
      <c r="N121" s="1">
        <v>2.3015013276613601E-6</v>
      </c>
      <c r="O121" s="2">
        <v>5.6379887702395504</v>
      </c>
      <c r="P121" s="2">
        <v>174.216216216216</v>
      </c>
      <c r="Q121" s="3">
        <v>104.77666139031</v>
      </c>
      <c r="R121" s="2">
        <v>5.41</v>
      </c>
      <c r="S121" s="2">
        <v>21.37</v>
      </c>
      <c r="T121" s="2">
        <v>1.39</v>
      </c>
      <c r="V121" s="4">
        <f t="shared" si="7"/>
        <v>58</v>
      </c>
      <c r="W121">
        <f t="shared" si="4"/>
        <v>3</v>
      </c>
      <c r="X121">
        <f t="shared" si="5"/>
        <v>1</v>
      </c>
      <c r="Y121">
        <v>120</v>
      </c>
      <c r="Z121" s="4">
        <f t="shared" si="6"/>
        <v>118</v>
      </c>
    </row>
    <row r="122" spans="1:26" x14ac:dyDescent="0.2">
      <c r="A122" s="11">
        <v>28</v>
      </c>
      <c r="B122" s="4">
        <v>2198</v>
      </c>
      <c r="C122" s="4">
        <v>2</v>
      </c>
      <c r="D122" s="4">
        <v>2</v>
      </c>
      <c r="E122" s="4">
        <v>1</v>
      </c>
      <c r="F122" s="4">
        <v>2</v>
      </c>
      <c r="G122" t="s">
        <v>122</v>
      </c>
      <c r="H122" s="4">
        <v>4</v>
      </c>
      <c r="I122" s="4">
        <v>75</v>
      </c>
      <c r="J122" s="4">
        <v>5</v>
      </c>
      <c r="K122" s="2">
        <v>5.3333333333333304</v>
      </c>
      <c r="L122" s="2">
        <v>80</v>
      </c>
      <c r="M122" s="2">
        <v>2.1567436208991402</v>
      </c>
      <c r="N122" s="1">
        <v>2.4305625307005999E-6</v>
      </c>
      <c r="O122" s="2">
        <v>5.61429320141976</v>
      </c>
      <c r="P122" s="2">
        <v>37.092957746478803</v>
      </c>
      <c r="Q122" s="3">
        <v>103.31916148679301</v>
      </c>
      <c r="R122" s="2">
        <v>1.07</v>
      </c>
      <c r="S122" s="2">
        <v>21.37</v>
      </c>
      <c r="T122" s="2">
        <v>1.39</v>
      </c>
      <c r="V122" s="4">
        <f t="shared" si="7"/>
        <v>58</v>
      </c>
      <c r="W122">
        <f t="shared" si="4"/>
        <v>3</v>
      </c>
      <c r="X122">
        <f t="shared" si="5"/>
        <v>1</v>
      </c>
      <c r="Y122">
        <v>121</v>
      </c>
      <c r="Z122" s="4">
        <f t="shared" si="6"/>
        <v>119</v>
      </c>
    </row>
    <row r="123" spans="1:26" x14ac:dyDescent="0.2">
      <c r="A123" s="11">
        <v>29</v>
      </c>
      <c r="B123" s="4">
        <v>1452</v>
      </c>
      <c r="C123" s="4">
        <v>2</v>
      </c>
      <c r="D123" s="4">
        <v>2</v>
      </c>
      <c r="E123" s="4">
        <v>1</v>
      </c>
      <c r="F123" s="4">
        <v>1</v>
      </c>
      <c r="G123" t="s">
        <v>123</v>
      </c>
      <c r="H123" s="4">
        <v>4</v>
      </c>
      <c r="I123" s="4">
        <v>16</v>
      </c>
      <c r="J123" s="4">
        <v>25</v>
      </c>
      <c r="K123" s="2">
        <v>25</v>
      </c>
      <c r="L123" s="2">
        <v>16</v>
      </c>
      <c r="M123" s="2">
        <v>0.36674816625916801</v>
      </c>
      <c r="N123" s="1">
        <v>8.8116354938431302E-6</v>
      </c>
      <c r="O123" s="2">
        <v>5.0549434763744996</v>
      </c>
      <c r="P123" s="2">
        <v>43.626666666666601</v>
      </c>
      <c r="Q123" s="3">
        <v>95.273216169654305</v>
      </c>
      <c r="R123" s="2">
        <v>0.46</v>
      </c>
      <c r="S123" s="2">
        <v>22</v>
      </c>
      <c r="T123" s="2">
        <v>1.43</v>
      </c>
      <c r="V123" s="4">
        <f t="shared" si="7"/>
        <v>59</v>
      </c>
      <c r="W123">
        <f t="shared" si="4"/>
        <v>3</v>
      </c>
      <c r="X123">
        <f t="shared" si="5"/>
        <v>1</v>
      </c>
      <c r="Y123">
        <v>122</v>
      </c>
      <c r="Z123" s="4">
        <f t="shared" si="6"/>
        <v>120</v>
      </c>
    </row>
    <row r="124" spans="1:26" x14ac:dyDescent="0.2">
      <c r="A124" s="11">
        <v>29</v>
      </c>
      <c r="B124" s="4">
        <v>1452</v>
      </c>
      <c r="C124" s="4">
        <v>2</v>
      </c>
      <c r="D124" s="4">
        <v>2</v>
      </c>
      <c r="E124" s="4">
        <v>1</v>
      </c>
      <c r="F124" s="4">
        <v>2</v>
      </c>
      <c r="G124" t="s">
        <v>124</v>
      </c>
      <c r="H124" s="4">
        <v>4</v>
      </c>
      <c r="I124" s="4">
        <v>25</v>
      </c>
      <c r="J124" s="4">
        <v>15</v>
      </c>
      <c r="K124" s="2">
        <v>16</v>
      </c>
      <c r="L124" s="2">
        <v>26.6666666666666</v>
      </c>
      <c r="M124" s="2">
        <v>0.63985374771480796</v>
      </c>
      <c r="N124" s="1">
        <v>6.6426294064070602E-6</v>
      </c>
      <c r="O124" s="2">
        <v>5.1776599762566198</v>
      </c>
      <c r="P124" s="2">
        <v>41.676190476190399</v>
      </c>
      <c r="Q124" s="3">
        <v>102.050318336179</v>
      </c>
      <c r="R124" s="2">
        <v>11.19</v>
      </c>
      <c r="S124" s="2">
        <v>22</v>
      </c>
      <c r="T124" s="2">
        <v>1.43</v>
      </c>
      <c r="V124" s="4">
        <f t="shared" si="7"/>
        <v>59</v>
      </c>
      <c r="W124">
        <f t="shared" si="4"/>
        <v>3</v>
      </c>
      <c r="X124">
        <f t="shared" si="5"/>
        <v>1</v>
      </c>
      <c r="Y124">
        <v>123</v>
      </c>
      <c r="Z124" s="4">
        <f t="shared" si="6"/>
        <v>121</v>
      </c>
    </row>
    <row r="125" spans="1:26" x14ac:dyDescent="0.2">
      <c r="A125" s="11">
        <v>30</v>
      </c>
      <c r="B125" s="4">
        <v>286</v>
      </c>
      <c r="C125" s="4">
        <v>2</v>
      </c>
      <c r="D125" s="4">
        <v>2</v>
      </c>
      <c r="E125" s="4">
        <v>1</v>
      </c>
      <c r="F125" s="4">
        <v>1</v>
      </c>
      <c r="G125" t="s">
        <v>125</v>
      </c>
      <c r="H125" s="4">
        <v>13</v>
      </c>
      <c r="I125" s="4">
        <v>94</v>
      </c>
      <c r="J125" s="4">
        <v>96</v>
      </c>
      <c r="K125" s="2">
        <v>13.829787234042501</v>
      </c>
      <c r="L125" s="2">
        <v>13.5416666666666</v>
      </c>
      <c r="M125" s="2">
        <v>2.5304592314901502</v>
      </c>
      <c r="N125" s="1">
        <v>4.1157808581821098E-6</v>
      </c>
      <c r="O125" s="2">
        <v>5.3855477569941197</v>
      </c>
      <c r="P125" s="2">
        <v>5.3514660493827098</v>
      </c>
      <c r="Q125" s="3">
        <v>36.921448026717101</v>
      </c>
      <c r="R125" s="2">
        <v>0.52</v>
      </c>
      <c r="S125" s="2">
        <v>21.25</v>
      </c>
      <c r="T125" s="2">
        <v>1.39</v>
      </c>
      <c r="V125" s="4">
        <f t="shared" si="7"/>
        <v>60</v>
      </c>
      <c r="W125">
        <f t="shared" si="4"/>
        <v>3</v>
      </c>
      <c r="X125">
        <f t="shared" si="5"/>
        <v>1</v>
      </c>
      <c r="Y125">
        <v>124</v>
      </c>
      <c r="Z125" s="4">
        <f t="shared" si="6"/>
        <v>122</v>
      </c>
    </row>
    <row r="126" spans="1:26" x14ac:dyDescent="0.2">
      <c r="A126" s="11">
        <v>30</v>
      </c>
      <c r="B126" s="4">
        <v>286</v>
      </c>
      <c r="C126" s="4">
        <v>2</v>
      </c>
      <c r="D126" s="4">
        <v>2</v>
      </c>
      <c r="E126" s="4">
        <v>1</v>
      </c>
      <c r="F126" s="4">
        <v>2</v>
      </c>
      <c r="G126" t="s">
        <v>126</v>
      </c>
      <c r="H126" s="4">
        <v>13</v>
      </c>
      <c r="I126" s="4">
        <v>101</v>
      </c>
      <c r="J126" s="4">
        <v>94</v>
      </c>
      <c r="K126" s="2">
        <v>12.871287128712799</v>
      </c>
      <c r="L126" s="2">
        <v>13.829787234042501</v>
      </c>
      <c r="M126" s="2">
        <v>2.7474242897283698</v>
      </c>
      <c r="N126" s="1">
        <v>7.4005841160939896E-6</v>
      </c>
      <c r="O126" s="2">
        <v>5.1307340007575402</v>
      </c>
      <c r="P126" s="2">
        <v>5.0337282398452601</v>
      </c>
      <c r="Q126" s="3">
        <v>34.129607379414303</v>
      </c>
      <c r="R126" s="2">
        <v>53.85</v>
      </c>
      <c r="S126" s="2">
        <v>21.25</v>
      </c>
      <c r="T126" s="2">
        <v>1.39</v>
      </c>
      <c r="V126" s="4">
        <f t="shared" si="7"/>
        <v>60</v>
      </c>
      <c r="W126">
        <f t="shared" si="4"/>
        <v>3</v>
      </c>
      <c r="X126">
        <f t="shared" si="5"/>
        <v>1</v>
      </c>
      <c r="Y126">
        <v>125</v>
      </c>
      <c r="Z126" s="4">
        <f t="shared" si="6"/>
        <v>123</v>
      </c>
    </row>
    <row r="127" spans="1:26" x14ac:dyDescent="0.2">
      <c r="A127" s="11">
        <v>30</v>
      </c>
      <c r="B127" s="4">
        <v>516</v>
      </c>
      <c r="C127" s="4">
        <v>2</v>
      </c>
      <c r="D127" s="4">
        <v>2</v>
      </c>
      <c r="E127" s="4">
        <v>1</v>
      </c>
      <c r="F127" s="4">
        <v>1</v>
      </c>
      <c r="G127" t="s">
        <v>51</v>
      </c>
      <c r="H127" s="4">
        <v>4</v>
      </c>
      <c r="I127" s="4">
        <v>51</v>
      </c>
      <c r="J127" s="4">
        <v>7</v>
      </c>
      <c r="K127" s="2">
        <v>7.8431372549019596</v>
      </c>
      <c r="L127" s="2">
        <v>57.142857142857103</v>
      </c>
      <c r="M127" s="2">
        <v>1.4285714285714199</v>
      </c>
      <c r="N127" s="1">
        <v>3.4389963223771999E-6</v>
      </c>
      <c r="O127" s="2">
        <v>5.4635682886072203</v>
      </c>
      <c r="P127" s="2">
        <v>40</v>
      </c>
      <c r="Q127" s="3">
        <v>108.139443742062</v>
      </c>
      <c r="R127" s="2">
        <v>999</v>
      </c>
      <c r="S127" s="2">
        <v>26.32</v>
      </c>
      <c r="T127" s="2">
        <v>1.72</v>
      </c>
      <c r="V127" s="4">
        <f t="shared" si="7"/>
        <v>61</v>
      </c>
      <c r="W127">
        <f t="shared" si="4"/>
        <v>3</v>
      </c>
      <c r="X127">
        <f t="shared" si="5"/>
        <v>1</v>
      </c>
      <c r="Y127">
        <v>126</v>
      </c>
      <c r="Z127" s="4">
        <f t="shared" si="6"/>
        <v>124</v>
      </c>
    </row>
    <row r="128" spans="1:26" x14ac:dyDescent="0.2">
      <c r="A128" s="11">
        <v>30</v>
      </c>
      <c r="B128" s="4">
        <v>516</v>
      </c>
      <c r="C128" s="4">
        <v>2</v>
      </c>
      <c r="D128" s="4">
        <v>2</v>
      </c>
      <c r="E128" s="4">
        <v>1</v>
      </c>
      <c r="F128" s="4">
        <v>2</v>
      </c>
      <c r="G128" t="s">
        <v>127</v>
      </c>
      <c r="H128" s="4">
        <v>4</v>
      </c>
      <c r="I128" s="4">
        <v>7</v>
      </c>
      <c r="J128" s="4">
        <v>50</v>
      </c>
      <c r="K128" s="2">
        <v>57.142857142857103</v>
      </c>
      <c r="L128" s="2">
        <v>8</v>
      </c>
      <c r="M128" s="2">
        <v>9.2392978133661804E-2</v>
      </c>
      <c r="N128" s="1">
        <v>3.1716065375437898E-6</v>
      </c>
      <c r="O128" s="2">
        <v>5.4987206956206798</v>
      </c>
      <c r="P128" s="2">
        <v>86.586666666666602</v>
      </c>
      <c r="Q128" s="3">
        <v>110.40635635185301</v>
      </c>
      <c r="R128" s="2">
        <v>2.21</v>
      </c>
      <c r="S128" s="2">
        <v>26.32</v>
      </c>
      <c r="T128" s="2">
        <v>1.72</v>
      </c>
      <c r="V128" s="4">
        <f t="shared" si="7"/>
        <v>61</v>
      </c>
      <c r="W128">
        <f t="shared" si="4"/>
        <v>3</v>
      </c>
      <c r="X128">
        <f t="shared" si="5"/>
        <v>1</v>
      </c>
      <c r="Y128">
        <v>127</v>
      </c>
      <c r="Z128" s="4">
        <f t="shared" si="6"/>
        <v>125</v>
      </c>
    </row>
    <row r="129" spans="1:26" x14ac:dyDescent="0.2">
      <c r="A129" s="11">
        <v>30</v>
      </c>
      <c r="B129" s="4">
        <v>2081</v>
      </c>
      <c r="C129" s="4">
        <v>2</v>
      </c>
      <c r="D129" s="4">
        <v>2</v>
      </c>
      <c r="E129" s="4">
        <v>1</v>
      </c>
      <c r="F129" s="4">
        <v>1</v>
      </c>
      <c r="G129" t="s">
        <v>128</v>
      </c>
      <c r="H129" s="4">
        <v>4</v>
      </c>
      <c r="I129" s="4">
        <v>5</v>
      </c>
      <c r="J129" s="4">
        <v>53</v>
      </c>
      <c r="K129" s="2">
        <v>80</v>
      </c>
      <c r="L129" s="2">
        <v>7.5471698113207504</v>
      </c>
      <c r="M129" s="2">
        <v>3.0826140567200899E-2</v>
      </c>
      <c r="N129" s="1">
        <v>5.8875329925783903E-7</v>
      </c>
      <c r="O129" s="2">
        <v>6.2300666461552598</v>
      </c>
      <c r="P129" s="2">
        <v>244.830188679245</v>
      </c>
      <c r="Q129" s="3">
        <v>148.09042620111001</v>
      </c>
      <c r="R129" s="2">
        <v>1.52</v>
      </c>
      <c r="S129" s="2">
        <v>22.69</v>
      </c>
      <c r="T129" s="2">
        <v>1.48</v>
      </c>
      <c r="V129" s="4">
        <f t="shared" si="7"/>
        <v>62</v>
      </c>
      <c r="W129">
        <f t="shared" si="4"/>
        <v>3</v>
      </c>
      <c r="X129">
        <f t="shared" si="5"/>
        <v>1</v>
      </c>
      <c r="Y129">
        <v>128</v>
      </c>
      <c r="Z129" s="4">
        <f t="shared" si="6"/>
        <v>126</v>
      </c>
    </row>
    <row r="130" spans="1:26" x14ac:dyDescent="0.2">
      <c r="A130" s="11">
        <v>30</v>
      </c>
      <c r="B130" s="4">
        <v>2081</v>
      </c>
      <c r="C130" s="4">
        <v>2</v>
      </c>
      <c r="D130" s="4">
        <v>2</v>
      </c>
      <c r="E130" s="4">
        <v>1</v>
      </c>
      <c r="F130" s="4">
        <v>2</v>
      </c>
      <c r="G130" t="s">
        <v>129</v>
      </c>
      <c r="H130" s="4">
        <v>4</v>
      </c>
      <c r="I130" s="4">
        <v>56</v>
      </c>
      <c r="J130" s="4">
        <v>5</v>
      </c>
      <c r="K130" s="2">
        <v>7.1428571428571397</v>
      </c>
      <c r="L130" s="2">
        <v>80</v>
      </c>
      <c r="M130" s="2">
        <v>1.57958687727825</v>
      </c>
      <c r="N130" s="1">
        <v>7.3792776741063902E-7</v>
      </c>
      <c r="O130" s="2">
        <v>6.1319861473236603</v>
      </c>
      <c r="P130" s="2">
        <v>50.646153846153801</v>
      </c>
      <c r="Q130" s="3">
        <v>139.91370873972201</v>
      </c>
      <c r="R130" s="2">
        <v>2.5299999999999998</v>
      </c>
      <c r="S130" s="2">
        <v>22.69</v>
      </c>
      <c r="T130" s="2">
        <v>1.48</v>
      </c>
      <c r="V130" s="4">
        <f t="shared" si="7"/>
        <v>62</v>
      </c>
      <c r="W130">
        <f t="shared" si="4"/>
        <v>3</v>
      </c>
      <c r="X130">
        <f t="shared" si="5"/>
        <v>1</v>
      </c>
      <c r="Y130">
        <v>129</v>
      </c>
      <c r="Z130" s="4">
        <f t="shared" si="6"/>
        <v>127</v>
      </c>
    </row>
    <row r="131" spans="1:26" x14ac:dyDescent="0.2">
      <c r="A131" s="11">
        <v>31</v>
      </c>
      <c r="B131" s="4">
        <v>291</v>
      </c>
      <c r="C131" s="4">
        <v>2</v>
      </c>
      <c r="D131" s="4">
        <v>2</v>
      </c>
      <c r="E131" s="4">
        <v>1</v>
      </c>
      <c r="F131" s="4">
        <v>1</v>
      </c>
      <c r="G131" t="s">
        <v>130</v>
      </c>
      <c r="H131" s="4">
        <v>4</v>
      </c>
      <c r="I131" s="4">
        <v>4</v>
      </c>
      <c r="J131" s="4">
        <v>139</v>
      </c>
      <c r="K131" s="2">
        <v>100</v>
      </c>
      <c r="L131" s="2">
        <v>2.8776978417266101</v>
      </c>
      <c r="M131" s="2">
        <v>0</v>
      </c>
      <c r="N131" s="1">
        <v>6.0603568022134204E-6</v>
      </c>
      <c r="O131" s="2">
        <v>5.2175018060860499</v>
      </c>
      <c r="P131" s="2" t="s">
        <v>131</v>
      </c>
      <c r="Q131" s="3">
        <v>68.789445375965002</v>
      </c>
      <c r="R131" s="2">
        <v>0.35</v>
      </c>
      <c r="S131" s="2">
        <v>23.47</v>
      </c>
      <c r="T131" s="2">
        <v>1.53</v>
      </c>
      <c r="V131" s="4">
        <f t="shared" si="7"/>
        <v>63</v>
      </c>
      <c r="W131">
        <f t="shared" ref="W131:W194" si="8">IF(AND(B131&lt;&gt;B130,D131&gt;2),W130+1,W130)</f>
        <v>3</v>
      </c>
      <c r="X131">
        <f t="shared" ref="X131:X194" si="9">IF(AND(B131&lt;&gt;B130,D131&gt;3),X130+1,X130)</f>
        <v>1</v>
      </c>
      <c r="Y131">
        <v>130</v>
      </c>
      <c r="Z131" s="4">
        <f t="shared" ref="Z131:Z194" si="10">IF(F131&lt;&gt;F130,Z130+1,Z130)</f>
        <v>128</v>
      </c>
    </row>
    <row r="132" spans="1:26" x14ac:dyDescent="0.2">
      <c r="A132" s="11">
        <v>31</v>
      </c>
      <c r="B132" s="4">
        <v>291</v>
      </c>
      <c r="C132" s="4">
        <v>2</v>
      </c>
      <c r="D132" s="4">
        <v>2</v>
      </c>
      <c r="E132" s="4">
        <v>1</v>
      </c>
      <c r="F132" s="4">
        <v>2</v>
      </c>
      <c r="G132" t="s">
        <v>132</v>
      </c>
      <c r="H132" s="4">
        <v>4</v>
      </c>
      <c r="I132" s="4">
        <v>141</v>
      </c>
      <c r="J132" s="4">
        <v>4</v>
      </c>
      <c r="K132" s="2">
        <v>2.83687943262411</v>
      </c>
      <c r="L132" s="2">
        <v>100</v>
      </c>
      <c r="M132" s="2">
        <v>4.1603401153962896</v>
      </c>
      <c r="N132" s="1">
        <v>6.4207515712587298E-6</v>
      </c>
      <c r="O132" s="2">
        <v>5.1924141332790601</v>
      </c>
      <c r="P132" s="2">
        <v>24.036496350364899</v>
      </c>
      <c r="Q132" s="3">
        <v>67.757870124730204</v>
      </c>
      <c r="R132" s="2">
        <v>63.96</v>
      </c>
      <c r="S132" s="2">
        <v>23.47</v>
      </c>
      <c r="T132" s="2">
        <v>1.53</v>
      </c>
      <c r="V132" s="4">
        <f t="shared" ref="V132:V195" si="11">IF(F132=1,V131+1,V131)</f>
        <v>63</v>
      </c>
      <c r="W132">
        <f t="shared" si="8"/>
        <v>3</v>
      </c>
      <c r="X132">
        <f t="shared" si="9"/>
        <v>1</v>
      </c>
      <c r="Y132">
        <v>131</v>
      </c>
      <c r="Z132" s="4">
        <f t="shared" si="10"/>
        <v>129</v>
      </c>
    </row>
    <row r="133" spans="1:26" x14ac:dyDescent="0.2">
      <c r="A133" s="11">
        <v>31</v>
      </c>
      <c r="B133" s="4">
        <v>584</v>
      </c>
      <c r="C133" s="4">
        <v>2</v>
      </c>
      <c r="D133" s="4">
        <v>2</v>
      </c>
      <c r="E133" s="4">
        <v>1</v>
      </c>
      <c r="F133" s="4">
        <v>1</v>
      </c>
      <c r="G133" t="s">
        <v>133</v>
      </c>
      <c r="H133" s="4">
        <v>4</v>
      </c>
      <c r="I133" s="4">
        <v>36</v>
      </c>
      <c r="J133" s="4">
        <v>9</v>
      </c>
      <c r="K133" s="2">
        <v>11.1111111111111</v>
      </c>
      <c r="L133" s="2">
        <v>44.4444444444444</v>
      </c>
      <c r="M133" s="2">
        <v>0.97323600973236002</v>
      </c>
      <c r="N133" s="1">
        <v>2.9049200842433902E-6</v>
      </c>
      <c r="O133" s="2">
        <v>5.5368658107605704</v>
      </c>
      <c r="P133" s="2">
        <v>45.6666666666666</v>
      </c>
      <c r="Q133" s="3">
        <v>119.37918473165399</v>
      </c>
      <c r="R133" s="2">
        <v>1.1100000000000001</v>
      </c>
      <c r="S133" s="2">
        <v>21.17</v>
      </c>
      <c r="T133" s="2">
        <v>1.38</v>
      </c>
      <c r="V133" s="4">
        <f t="shared" si="11"/>
        <v>64</v>
      </c>
      <c r="W133">
        <f t="shared" si="8"/>
        <v>3</v>
      </c>
      <c r="X133">
        <f t="shared" si="9"/>
        <v>1</v>
      </c>
      <c r="Y133">
        <v>132</v>
      </c>
      <c r="Z133" s="4">
        <f t="shared" si="10"/>
        <v>130</v>
      </c>
    </row>
    <row r="134" spans="1:26" x14ac:dyDescent="0.2">
      <c r="A134" s="11">
        <v>31</v>
      </c>
      <c r="B134" s="4">
        <v>584</v>
      </c>
      <c r="C134" s="4">
        <v>2</v>
      </c>
      <c r="D134" s="4">
        <v>2</v>
      </c>
      <c r="E134" s="4">
        <v>1</v>
      </c>
      <c r="F134" s="4">
        <v>2</v>
      </c>
      <c r="G134" t="s">
        <v>134</v>
      </c>
      <c r="H134" s="4">
        <v>4</v>
      </c>
      <c r="I134" s="4">
        <v>10</v>
      </c>
      <c r="J134" s="4">
        <v>36</v>
      </c>
      <c r="K134" s="2">
        <v>40</v>
      </c>
      <c r="L134" s="2">
        <v>11.1111111111111</v>
      </c>
      <c r="M134" s="2">
        <v>0.183992640294388</v>
      </c>
      <c r="N134" s="1">
        <v>4.80390928104797E-6</v>
      </c>
      <c r="O134" s="2">
        <v>5.3184052025830901</v>
      </c>
      <c r="P134" s="2">
        <v>60.3888888888888</v>
      </c>
      <c r="Q134" s="3">
        <v>106.78511115510599</v>
      </c>
      <c r="R134" s="2">
        <v>0.84</v>
      </c>
      <c r="S134" s="2">
        <v>21.17</v>
      </c>
      <c r="T134" s="2">
        <v>1.38</v>
      </c>
      <c r="V134" s="4">
        <f t="shared" si="11"/>
        <v>64</v>
      </c>
      <c r="W134">
        <f t="shared" si="8"/>
        <v>3</v>
      </c>
      <c r="X134">
        <f t="shared" si="9"/>
        <v>1</v>
      </c>
      <c r="Y134">
        <v>133</v>
      </c>
      <c r="Z134" s="4">
        <f t="shared" si="10"/>
        <v>131</v>
      </c>
    </row>
    <row r="135" spans="1:26" x14ac:dyDescent="0.2">
      <c r="A135" s="11">
        <v>31</v>
      </c>
      <c r="B135" s="4">
        <v>613</v>
      </c>
      <c r="C135" s="4">
        <v>2</v>
      </c>
      <c r="D135" s="4">
        <v>2</v>
      </c>
      <c r="E135" s="4">
        <v>1</v>
      </c>
      <c r="F135" s="4">
        <v>1</v>
      </c>
      <c r="G135" t="s">
        <v>135</v>
      </c>
      <c r="H135" s="4">
        <v>5</v>
      </c>
      <c r="I135" s="4">
        <v>172</v>
      </c>
      <c r="J135" s="4">
        <v>6</v>
      </c>
      <c r="K135" s="2">
        <v>2.9069767441860401</v>
      </c>
      <c r="L135" s="2">
        <v>83.3333333333333</v>
      </c>
      <c r="M135" s="2">
        <v>5.0744454573078004</v>
      </c>
      <c r="N135" s="1">
        <v>4.2006355485886496E-6</v>
      </c>
      <c r="O135" s="2">
        <v>5.3766849966583603</v>
      </c>
      <c r="P135" s="2">
        <v>16.422155688622698</v>
      </c>
      <c r="Q135" s="3">
        <v>59.197410288736698</v>
      </c>
      <c r="R135" s="2">
        <v>44.58</v>
      </c>
      <c r="S135" s="2">
        <v>22.01</v>
      </c>
      <c r="T135" s="2">
        <v>1.43</v>
      </c>
      <c r="V135" s="4">
        <f t="shared" si="11"/>
        <v>65</v>
      </c>
      <c r="W135">
        <f t="shared" si="8"/>
        <v>3</v>
      </c>
      <c r="X135">
        <f t="shared" si="9"/>
        <v>1</v>
      </c>
      <c r="Y135">
        <v>134</v>
      </c>
      <c r="Z135" s="4">
        <f t="shared" si="10"/>
        <v>132</v>
      </c>
    </row>
    <row r="136" spans="1:26" x14ac:dyDescent="0.2">
      <c r="A136" s="11">
        <v>31</v>
      </c>
      <c r="B136" s="4">
        <v>613</v>
      </c>
      <c r="C136" s="4">
        <v>2</v>
      </c>
      <c r="D136" s="4">
        <v>2</v>
      </c>
      <c r="E136" s="4">
        <v>1</v>
      </c>
      <c r="F136" s="4">
        <v>2</v>
      </c>
      <c r="G136" t="s">
        <v>5</v>
      </c>
      <c r="H136" s="4">
        <v>5</v>
      </c>
      <c r="I136" s="4">
        <v>6</v>
      </c>
      <c r="J136" s="4">
        <v>171</v>
      </c>
      <c r="K136" s="2">
        <v>83.3333333333333</v>
      </c>
      <c r="L136" s="2">
        <v>2.9239766081871301</v>
      </c>
      <c r="M136" s="2">
        <v>3.1989763275751697E-2</v>
      </c>
      <c r="N136" s="1">
        <v>4.0796020550654801E-6</v>
      </c>
      <c r="O136" s="2">
        <v>5.3893821981155101</v>
      </c>
      <c r="P136" s="2">
        <v>91.403508771929793</v>
      </c>
      <c r="Q136" s="3">
        <v>59.5763009667928</v>
      </c>
      <c r="R136" s="2">
        <v>4.76</v>
      </c>
      <c r="S136" s="2">
        <v>22.01</v>
      </c>
      <c r="T136" s="2">
        <v>1.43</v>
      </c>
      <c r="V136" s="4">
        <f t="shared" si="11"/>
        <v>65</v>
      </c>
      <c r="W136">
        <f t="shared" si="8"/>
        <v>3</v>
      </c>
      <c r="X136">
        <f t="shared" si="9"/>
        <v>1</v>
      </c>
      <c r="Y136">
        <v>135</v>
      </c>
      <c r="Z136" s="4">
        <f t="shared" si="10"/>
        <v>133</v>
      </c>
    </row>
    <row r="137" spans="1:26" x14ac:dyDescent="0.2">
      <c r="A137" s="11">
        <v>31</v>
      </c>
      <c r="B137" s="4">
        <v>1845</v>
      </c>
      <c r="C137" s="4">
        <v>2</v>
      </c>
      <c r="D137" s="4">
        <v>2</v>
      </c>
      <c r="E137" s="4">
        <v>1</v>
      </c>
      <c r="F137" s="4">
        <v>1</v>
      </c>
      <c r="G137" t="s">
        <v>136</v>
      </c>
      <c r="H137" s="4">
        <v>4</v>
      </c>
      <c r="I137" s="4">
        <v>25</v>
      </c>
      <c r="J137" s="4">
        <v>13</v>
      </c>
      <c r="K137" s="2">
        <v>16</v>
      </c>
      <c r="L137" s="2">
        <v>30.769230769230699</v>
      </c>
      <c r="M137" s="2">
        <v>0.63946406820949997</v>
      </c>
      <c r="N137" s="1">
        <v>3.5152616075162998E-6</v>
      </c>
      <c r="O137" s="2">
        <v>5.4540423490302103</v>
      </c>
      <c r="P137" s="2">
        <v>48.117216117216103</v>
      </c>
      <c r="Q137" s="3">
        <v>118.735059239997</v>
      </c>
      <c r="R137" s="2">
        <v>2.59</v>
      </c>
      <c r="S137" s="2">
        <v>24.74</v>
      </c>
      <c r="T137" s="2">
        <v>1.61</v>
      </c>
      <c r="V137" s="4">
        <f t="shared" si="11"/>
        <v>66</v>
      </c>
      <c r="W137">
        <f t="shared" si="8"/>
        <v>3</v>
      </c>
      <c r="X137">
        <f t="shared" si="9"/>
        <v>1</v>
      </c>
      <c r="Y137">
        <v>136</v>
      </c>
      <c r="Z137" s="4">
        <f t="shared" si="10"/>
        <v>134</v>
      </c>
    </row>
    <row r="138" spans="1:26" x14ac:dyDescent="0.2">
      <c r="A138" s="11">
        <v>31</v>
      </c>
      <c r="B138" s="4">
        <v>1845</v>
      </c>
      <c r="C138" s="4">
        <v>2</v>
      </c>
      <c r="D138" s="4">
        <v>2</v>
      </c>
      <c r="E138" s="4">
        <v>1</v>
      </c>
      <c r="F138" s="4">
        <v>2</v>
      </c>
      <c r="G138" t="s">
        <v>137</v>
      </c>
      <c r="H138" s="4">
        <v>4</v>
      </c>
      <c r="I138" s="4">
        <v>13</v>
      </c>
      <c r="J138" s="4">
        <v>25</v>
      </c>
      <c r="K138" s="2">
        <v>30.769230769230699</v>
      </c>
      <c r="L138" s="2">
        <v>16</v>
      </c>
      <c r="M138" s="2">
        <v>0.27506112469437599</v>
      </c>
      <c r="N138" s="1">
        <v>3.51526160751631E-6</v>
      </c>
      <c r="O138" s="2">
        <v>5.4540423490302103</v>
      </c>
      <c r="P138" s="2">
        <v>58.168888888888802</v>
      </c>
      <c r="Q138" s="3">
        <v>118.735059239997</v>
      </c>
      <c r="R138" s="2">
        <v>0.45</v>
      </c>
      <c r="S138" s="2">
        <v>24.74</v>
      </c>
      <c r="T138" s="2">
        <v>1.61</v>
      </c>
      <c r="V138" s="4">
        <f t="shared" si="11"/>
        <v>66</v>
      </c>
      <c r="W138">
        <f t="shared" si="8"/>
        <v>3</v>
      </c>
      <c r="X138">
        <f t="shared" si="9"/>
        <v>1</v>
      </c>
      <c r="Y138">
        <v>137</v>
      </c>
      <c r="Z138" s="4">
        <f t="shared" si="10"/>
        <v>135</v>
      </c>
    </row>
    <row r="139" spans="1:26" x14ac:dyDescent="0.2">
      <c r="A139" s="11">
        <v>32</v>
      </c>
      <c r="B139" s="4">
        <v>117</v>
      </c>
      <c r="C139" s="4">
        <v>2</v>
      </c>
      <c r="D139" s="4">
        <v>2</v>
      </c>
      <c r="E139" s="4">
        <v>1</v>
      </c>
      <c r="F139" s="4">
        <v>1</v>
      </c>
      <c r="G139" t="s">
        <v>138</v>
      </c>
      <c r="H139" s="4">
        <v>4</v>
      </c>
      <c r="I139" s="4">
        <v>37</v>
      </c>
      <c r="J139" s="4">
        <v>8</v>
      </c>
      <c r="K139" s="2">
        <v>10.8108108108108</v>
      </c>
      <c r="L139" s="2">
        <v>50</v>
      </c>
      <c r="M139" s="2">
        <v>1.0033444816053501</v>
      </c>
      <c r="N139" s="1">
        <v>1.82185055785645E-6</v>
      </c>
      <c r="O139" s="2">
        <v>5.7394872500633998</v>
      </c>
      <c r="P139" s="2">
        <v>49.8333333333333</v>
      </c>
      <c r="Q139" s="3">
        <v>131.32542380111599</v>
      </c>
      <c r="R139" s="2">
        <v>36.74</v>
      </c>
      <c r="S139" s="2">
        <v>22.17</v>
      </c>
      <c r="T139" s="2">
        <v>1.45</v>
      </c>
      <c r="V139" s="4">
        <f t="shared" si="11"/>
        <v>67</v>
      </c>
      <c r="W139">
        <f t="shared" si="8"/>
        <v>3</v>
      </c>
      <c r="X139">
        <f t="shared" si="9"/>
        <v>1</v>
      </c>
      <c r="Y139">
        <v>138</v>
      </c>
      <c r="Z139" s="4">
        <f t="shared" si="10"/>
        <v>136</v>
      </c>
    </row>
    <row r="140" spans="1:26" x14ac:dyDescent="0.2">
      <c r="A140" s="11">
        <v>32</v>
      </c>
      <c r="B140" s="4">
        <v>117</v>
      </c>
      <c r="C140" s="4">
        <v>2</v>
      </c>
      <c r="D140" s="4">
        <v>2</v>
      </c>
      <c r="E140" s="4">
        <v>1</v>
      </c>
      <c r="F140" s="4">
        <v>2</v>
      </c>
      <c r="G140" t="s">
        <v>139</v>
      </c>
      <c r="H140" s="4">
        <v>4</v>
      </c>
      <c r="I140" s="4">
        <v>9</v>
      </c>
      <c r="J140" s="4">
        <v>37</v>
      </c>
      <c r="K140" s="2">
        <v>44.4444444444444</v>
      </c>
      <c r="L140" s="2">
        <v>10.8108108108108</v>
      </c>
      <c r="M140" s="2">
        <v>0.153374233128834</v>
      </c>
      <c r="N140" s="1">
        <v>3.2530495748677599E-6</v>
      </c>
      <c r="O140" s="2">
        <v>5.4877093182344501</v>
      </c>
      <c r="P140" s="2">
        <v>70.486486486486399</v>
      </c>
      <c r="Q140" s="3">
        <v>116.001951555875</v>
      </c>
      <c r="R140" s="2">
        <v>0.43</v>
      </c>
      <c r="S140" s="2">
        <v>22.17</v>
      </c>
      <c r="T140" s="2">
        <v>1.45</v>
      </c>
      <c r="V140" s="4">
        <f t="shared" si="11"/>
        <v>67</v>
      </c>
      <c r="W140">
        <f t="shared" si="8"/>
        <v>3</v>
      </c>
      <c r="X140">
        <f t="shared" si="9"/>
        <v>1</v>
      </c>
      <c r="Y140">
        <v>139</v>
      </c>
      <c r="Z140" s="4">
        <f t="shared" si="10"/>
        <v>137</v>
      </c>
    </row>
    <row r="141" spans="1:26" x14ac:dyDescent="0.2">
      <c r="A141" s="11">
        <v>32</v>
      </c>
      <c r="B141" s="4">
        <v>218</v>
      </c>
      <c r="C141" s="4">
        <v>2</v>
      </c>
      <c r="D141" s="4">
        <v>2</v>
      </c>
      <c r="E141" s="4">
        <v>1</v>
      </c>
      <c r="F141" s="4">
        <v>1</v>
      </c>
      <c r="G141" t="s">
        <v>140</v>
      </c>
      <c r="H141" s="4">
        <v>4</v>
      </c>
      <c r="I141" s="4">
        <v>4</v>
      </c>
      <c r="J141" s="4">
        <v>102</v>
      </c>
      <c r="K141" s="2">
        <v>100</v>
      </c>
      <c r="L141" s="2">
        <v>3.9215686274509798</v>
      </c>
      <c r="M141" s="2">
        <v>0</v>
      </c>
      <c r="N141" s="1">
        <v>1.72942435955389E-6</v>
      </c>
      <c r="O141" s="2">
        <v>5.7620984281259</v>
      </c>
      <c r="P141" s="2" t="s">
        <v>141</v>
      </c>
      <c r="Q141" s="3">
        <v>95.170767601671102</v>
      </c>
      <c r="R141" s="2">
        <v>0.34</v>
      </c>
      <c r="S141" s="2">
        <v>22.48</v>
      </c>
      <c r="T141" s="2">
        <v>1.47</v>
      </c>
      <c r="V141" s="4">
        <f t="shared" si="11"/>
        <v>68</v>
      </c>
      <c r="W141">
        <f t="shared" si="8"/>
        <v>3</v>
      </c>
      <c r="X141">
        <f t="shared" si="9"/>
        <v>1</v>
      </c>
      <c r="Y141">
        <v>140</v>
      </c>
      <c r="Z141" s="4">
        <f t="shared" si="10"/>
        <v>138</v>
      </c>
    </row>
    <row r="142" spans="1:26" x14ac:dyDescent="0.2">
      <c r="A142" s="11">
        <v>32</v>
      </c>
      <c r="B142" s="4">
        <v>218</v>
      </c>
      <c r="C142" s="4">
        <v>2</v>
      </c>
      <c r="D142" s="4">
        <v>2</v>
      </c>
      <c r="E142" s="4">
        <v>1</v>
      </c>
      <c r="F142" s="4">
        <v>2</v>
      </c>
      <c r="G142" t="s">
        <v>142</v>
      </c>
      <c r="H142" s="4">
        <v>4</v>
      </c>
      <c r="I142" s="4">
        <v>104</v>
      </c>
      <c r="J142" s="4">
        <v>4</v>
      </c>
      <c r="K142" s="2">
        <v>3.84615384615384</v>
      </c>
      <c r="L142" s="2">
        <v>100</v>
      </c>
      <c r="M142" s="2">
        <v>3.0367446097783102</v>
      </c>
      <c r="N142" s="1">
        <v>1.8712720949031601E-6</v>
      </c>
      <c r="O142" s="2">
        <v>5.7278630587194996</v>
      </c>
      <c r="P142" s="2">
        <v>32.93</v>
      </c>
      <c r="Q142" s="3">
        <v>93.264826265109903</v>
      </c>
      <c r="R142" s="2">
        <v>54.53</v>
      </c>
      <c r="S142" s="2">
        <v>22.48</v>
      </c>
      <c r="T142" s="2">
        <v>1.47</v>
      </c>
      <c r="V142" s="4">
        <f t="shared" si="11"/>
        <v>68</v>
      </c>
      <c r="W142">
        <f t="shared" si="8"/>
        <v>3</v>
      </c>
      <c r="X142">
        <f t="shared" si="9"/>
        <v>1</v>
      </c>
      <c r="Y142">
        <v>141</v>
      </c>
      <c r="Z142" s="4">
        <f t="shared" si="10"/>
        <v>139</v>
      </c>
    </row>
    <row r="143" spans="1:26" x14ac:dyDescent="0.2">
      <c r="A143" s="11">
        <v>32</v>
      </c>
      <c r="B143" s="4">
        <v>412</v>
      </c>
      <c r="C143" s="4">
        <v>2</v>
      </c>
      <c r="D143" s="4">
        <v>2</v>
      </c>
      <c r="E143" s="4">
        <v>1</v>
      </c>
      <c r="F143" s="4">
        <v>1</v>
      </c>
      <c r="G143" t="s">
        <v>143</v>
      </c>
      <c r="H143" s="4">
        <v>17</v>
      </c>
      <c r="I143" s="4">
        <v>192</v>
      </c>
      <c r="J143" s="4">
        <v>81</v>
      </c>
      <c r="K143" s="2">
        <v>8.8541666666666607</v>
      </c>
      <c r="L143" s="2">
        <v>20.987654320987598</v>
      </c>
      <c r="M143" s="2">
        <v>5.4415422885572102</v>
      </c>
      <c r="N143" s="1">
        <v>4.7550718175090898E-6</v>
      </c>
      <c r="O143" s="2">
        <v>5.3228429193759101</v>
      </c>
      <c r="P143" s="2">
        <v>3.8569312169312102</v>
      </c>
      <c r="Q143" s="3">
        <v>32.040815733677498</v>
      </c>
      <c r="R143" s="2">
        <v>56.44</v>
      </c>
      <c r="S143" s="2">
        <v>21.2</v>
      </c>
      <c r="T143" s="2">
        <v>1.38</v>
      </c>
      <c r="V143" s="4">
        <f t="shared" si="11"/>
        <v>69</v>
      </c>
      <c r="W143">
        <f t="shared" si="8"/>
        <v>3</v>
      </c>
      <c r="X143">
        <f t="shared" si="9"/>
        <v>1</v>
      </c>
      <c r="Y143">
        <v>142</v>
      </c>
      <c r="Z143" s="4">
        <f t="shared" si="10"/>
        <v>140</v>
      </c>
    </row>
    <row r="144" spans="1:26" x14ac:dyDescent="0.2">
      <c r="A144" s="11">
        <v>32</v>
      </c>
      <c r="B144" s="4">
        <v>412</v>
      </c>
      <c r="C144" s="4">
        <v>2</v>
      </c>
      <c r="D144" s="4">
        <v>2</v>
      </c>
      <c r="E144" s="4">
        <v>1</v>
      </c>
      <c r="F144" s="4">
        <v>2</v>
      </c>
      <c r="G144" t="s">
        <v>107</v>
      </c>
      <c r="H144" s="4">
        <v>17</v>
      </c>
      <c r="I144" s="4">
        <v>85</v>
      </c>
      <c r="J144" s="4">
        <v>188</v>
      </c>
      <c r="K144" s="2">
        <v>20</v>
      </c>
      <c r="L144" s="2">
        <v>9.0425531914893593</v>
      </c>
      <c r="M144" s="2">
        <v>2.1871984560951998</v>
      </c>
      <c r="N144" s="1">
        <v>7.1718498463627701E-6</v>
      </c>
      <c r="O144" s="2">
        <v>5.1443688116333801</v>
      </c>
      <c r="P144" s="2">
        <v>4.1343085106382897</v>
      </c>
      <c r="Q144" s="3">
        <v>30.498040608703501</v>
      </c>
      <c r="R144" s="2">
        <v>28.79</v>
      </c>
      <c r="S144" s="2">
        <v>21.2</v>
      </c>
      <c r="T144" s="2">
        <v>1.38</v>
      </c>
      <c r="V144" s="4">
        <f t="shared" si="11"/>
        <v>69</v>
      </c>
      <c r="W144">
        <f t="shared" si="8"/>
        <v>3</v>
      </c>
      <c r="X144">
        <f t="shared" si="9"/>
        <v>1</v>
      </c>
      <c r="Y144">
        <v>143</v>
      </c>
      <c r="Z144" s="4">
        <f t="shared" si="10"/>
        <v>141</v>
      </c>
    </row>
    <row r="145" spans="1:26" x14ac:dyDescent="0.2">
      <c r="A145" s="11">
        <v>33</v>
      </c>
      <c r="B145" s="4">
        <v>1144</v>
      </c>
      <c r="C145" s="4">
        <v>2</v>
      </c>
      <c r="D145" s="4">
        <v>2</v>
      </c>
      <c r="E145" s="4">
        <v>1</v>
      </c>
      <c r="F145" s="4">
        <v>1</v>
      </c>
      <c r="G145" t="s">
        <v>144</v>
      </c>
      <c r="H145" s="4">
        <v>5</v>
      </c>
      <c r="I145" s="4">
        <v>20</v>
      </c>
      <c r="J145" s="4">
        <v>29</v>
      </c>
      <c r="K145" s="2">
        <v>25</v>
      </c>
      <c r="L145" s="2">
        <v>17.241379310344801</v>
      </c>
      <c r="M145" s="2">
        <v>0.45899632802937501</v>
      </c>
      <c r="N145" s="1">
        <v>1.0382659036860501E-6</v>
      </c>
      <c r="O145" s="2">
        <v>5.9836914078412899</v>
      </c>
      <c r="P145" s="2">
        <v>37.5632183908046</v>
      </c>
      <c r="Q145" s="3">
        <v>107.884313201506</v>
      </c>
      <c r="R145" s="2">
        <v>1.68</v>
      </c>
      <c r="S145" s="2">
        <v>20.23</v>
      </c>
      <c r="T145" s="2">
        <v>1.32</v>
      </c>
      <c r="V145" s="4">
        <f t="shared" si="11"/>
        <v>70</v>
      </c>
      <c r="W145">
        <f t="shared" si="8"/>
        <v>3</v>
      </c>
      <c r="X145">
        <f t="shared" si="9"/>
        <v>1</v>
      </c>
      <c r="Y145">
        <v>144</v>
      </c>
      <c r="Z145" s="4">
        <f t="shared" si="10"/>
        <v>142</v>
      </c>
    </row>
    <row r="146" spans="1:26" x14ac:dyDescent="0.2">
      <c r="A146" s="11">
        <v>33</v>
      </c>
      <c r="B146" s="4">
        <v>1144</v>
      </c>
      <c r="C146" s="4">
        <v>2</v>
      </c>
      <c r="D146" s="4">
        <v>2</v>
      </c>
      <c r="E146" s="4">
        <v>1</v>
      </c>
      <c r="F146" s="4">
        <v>2</v>
      </c>
      <c r="G146" t="s">
        <v>145</v>
      </c>
      <c r="H146" s="4">
        <v>5</v>
      </c>
      <c r="I146" s="4">
        <v>29</v>
      </c>
      <c r="J146" s="4">
        <v>20</v>
      </c>
      <c r="K146" s="2">
        <v>17.241379310344801</v>
      </c>
      <c r="L146" s="2">
        <v>25</v>
      </c>
      <c r="M146" s="2">
        <v>0.73237717424473603</v>
      </c>
      <c r="N146" s="1">
        <v>1.0382659036860501E-6</v>
      </c>
      <c r="O146" s="2">
        <v>5.9836914078412997</v>
      </c>
      <c r="P146" s="2">
        <v>34.1354166666666</v>
      </c>
      <c r="Q146" s="3">
        <v>107.884313201506</v>
      </c>
      <c r="R146" s="2">
        <v>4.8</v>
      </c>
      <c r="S146" s="2">
        <v>20.23</v>
      </c>
      <c r="T146" s="2">
        <v>1.32</v>
      </c>
      <c r="V146" s="4">
        <f t="shared" si="11"/>
        <v>70</v>
      </c>
      <c r="W146">
        <f t="shared" si="8"/>
        <v>3</v>
      </c>
      <c r="X146">
        <f t="shared" si="9"/>
        <v>1</v>
      </c>
      <c r="Y146">
        <v>145</v>
      </c>
      <c r="Z146" s="4">
        <f t="shared" si="10"/>
        <v>143</v>
      </c>
    </row>
    <row r="147" spans="1:26" x14ac:dyDescent="0.2">
      <c r="A147" s="11">
        <v>34</v>
      </c>
      <c r="B147" s="4">
        <v>41</v>
      </c>
      <c r="C147" s="4">
        <v>2</v>
      </c>
      <c r="D147" s="4">
        <v>2</v>
      </c>
      <c r="E147" s="4">
        <v>1</v>
      </c>
      <c r="F147" s="4">
        <v>1</v>
      </c>
      <c r="G147" t="s">
        <v>146</v>
      </c>
      <c r="H147" s="4">
        <v>6</v>
      </c>
      <c r="I147" s="4">
        <v>97</v>
      </c>
      <c r="J147" s="4">
        <v>15</v>
      </c>
      <c r="K147" s="2">
        <v>6.1855670103092697</v>
      </c>
      <c r="L147" s="2">
        <v>40</v>
      </c>
      <c r="M147" s="2">
        <v>2.7726995734308302</v>
      </c>
      <c r="N147" s="1">
        <v>4.4895427803388502E-6</v>
      </c>
      <c r="O147" s="2">
        <v>5.3477978857420396</v>
      </c>
      <c r="P147" s="2">
        <v>14.4263736263736</v>
      </c>
      <c r="Q147" s="3">
        <v>60.017980399325502</v>
      </c>
      <c r="R147" s="2">
        <v>6.27</v>
      </c>
      <c r="S147" s="2">
        <v>21.69</v>
      </c>
      <c r="T147" s="2">
        <v>1.41</v>
      </c>
      <c r="V147" s="4">
        <f t="shared" si="11"/>
        <v>71</v>
      </c>
      <c r="W147">
        <f t="shared" si="8"/>
        <v>3</v>
      </c>
      <c r="X147">
        <f t="shared" si="9"/>
        <v>1</v>
      </c>
      <c r="Y147">
        <v>146</v>
      </c>
      <c r="Z147" s="4">
        <f t="shared" si="10"/>
        <v>144</v>
      </c>
    </row>
    <row r="148" spans="1:26" x14ac:dyDescent="0.2">
      <c r="A148" s="11">
        <v>34</v>
      </c>
      <c r="B148" s="4">
        <v>41</v>
      </c>
      <c r="C148" s="4">
        <v>2</v>
      </c>
      <c r="D148" s="4">
        <v>2</v>
      </c>
      <c r="E148" s="4">
        <v>1</v>
      </c>
      <c r="F148" s="4">
        <v>2</v>
      </c>
      <c r="G148" t="s">
        <v>147</v>
      </c>
      <c r="H148" s="4">
        <v>6</v>
      </c>
      <c r="I148" s="4">
        <v>16</v>
      </c>
      <c r="J148" s="4">
        <v>96</v>
      </c>
      <c r="K148" s="2">
        <v>37.5</v>
      </c>
      <c r="L148" s="2">
        <v>6.25</v>
      </c>
      <c r="M148" s="2">
        <v>0.31240237425804401</v>
      </c>
      <c r="N148" s="1">
        <v>6.5970974562004097E-6</v>
      </c>
      <c r="O148" s="2">
        <v>5.1806471002188497</v>
      </c>
      <c r="P148" s="2">
        <v>20.006249999999898</v>
      </c>
      <c r="Q148" s="3">
        <v>56.301657635696003</v>
      </c>
      <c r="R148" s="2">
        <v>1.39</v>
      </c>
      <c r="S148" s="2">
        <v>21.69</v>
      </c>
      <c r="T148" s="2">
        <v>1.41</v>
      </c>
      <c r="V148" s="4">
        <f t="shared" si="11"/>
        <v>71</v>
      </c>
      <c r="W148">
        <f t="shared" si="8"/>
        <v>3</v>
      </c>
      <c r="X148">
        <f t="shared" si="9"/>
        <v>1</v>
      </c>
      <c r="Y148">
        <v>147</v>
      </c>
      <c r="Z148" s="4">
        <f t="shared" si="10"/>
        <v>145</v>
      </c>
    </row>
    <row r="149" spans="1:26" x14ac:dyDescent="0.2">
      <c r="A149" s="11">
        <v>34</v>
      </c>
      <c r="B149" s="4">
        <v>904</v>
      </c>
      <c r="C149" s="4">
        <v>2</v>
      </c>
      <c r="D149" s="4">
        <v>2</v>
      </c>
      <c r="E149" s="4">
        <v>1</v>
      </c>
      <c r="F149" s="4">
        <v>1</v>
      </c>
      <c r="G149" t="s">
        <v>148</v>
      </c>
      <c r="H149" s="4">
        <v>5</v>
      </c>
      <c r="I149" s="4">
        <v>34</v>
      </c>
      <c r="J149" s="4">
        <v>25</v>
      </c>
      <c r="K149" s="2">
        <v>14.705882352941099</v>
      </c>
      <c r="L149" s="2">
        <v>20</v>
      </c>
      <c r="M149" s="2">
        <v>0.88630806845965704</v>
      </c>
      <c r="N149" s="1">
        <v>7.8830103913393992E-6</v>
      </c>
      <c r="O149" s="2">
        <v>5.1033079009522204</v>
      </c>
      <c r="P149" s="2">
        <v>22.5655172413793</v>
      </c>
      <c r="Q149" s="3">
        <v>71.070235082444</v>
      </c>
      <c r="R149" s="2">
        <v>2.52</v>
      </c>
      <c r="S149" s="2">
        <v>23.15</v>
      </c>
      <c r="T149" s="2">
        <v>1.51</v>
      </c>
      <c r="V149" s="4">
        <f t="shared" si="11"/>
        <v>72</v>
      </c>
      <c r="W149">
        <f t="shared" si="8"/>
        <v>3</v>
      </c>
      <c r="X149">
        <f t="shared" si="9"/>
        <v>1</v>
      </c>
      <c r="Y149">
        <v>148</v>
      </c>
      <c r="Z149" s="4">
        <f t="shared" si="10"/>
        <v>146</v>
      </c>
    </row>
    <row r="150" spans="1:26" x14ac:dyDescent="0.2">
      <c r="A150" s="11">
        <v>34</v>
      </c>
      <c r="B150" s="4">
        <v>904</v>
      </c>
      <c r="C150" s="4">
        <v>2</v>
      </c>
      <c r="D150" s="4">
        <v>2</v>
      </c>
      <c r="E150" s="4">
        <v>1</v>
      </c>
      <c r="F150" s="4">
        <v>2</v>
      </c>
      <c r="G150" t="s">
        <v>149</v>
      </c>
      <c r="H150" s="4">
        <v>5</v>
      </c>
      <c r="I150" s="4">
        <v>26</v>
      </c>
      <c r="J150" s="4">
        <v>34</v>
      </c>
      <c r="K150" s="2">
        <v>19.230769230769202</v>
      </c>
      <c r="L150" s="2">
        <v>14.705882352941099</v>
      </c>
      <c r="M150" s="2">
        <v>0.64357952804167895</v>
      </c>
      <c r="N150" s="1">
        <v>9.6882063400352895E-6</v>
      </c>
      <c r="O150" s="2">
        <v>5.0137566201349797</v>
      </c>
      <c r="P150" s="2">
        <v>22.850140056022401</v>
      </c>
      <c r="Q150" s="3">
        <v>68.025716780361293</v>
      </c>
      <c r="R150" s="2">
        <v>0.31</v>
      </c>
      <c r="S150" s="2">
        <v>23.15</v>
      </c>
      <c r="T150" s="2">
        <v>1.51</v>
      </c>
      <c r="V150" s="4">
        <f t="shared" si="11"/>
        <v>72</v>
      </c>
      <c r="W150">
        <f t="shared" si="8"/>
        <v>3</v>
      </c>
      <c r="X150">
        <f t="shared" si="9"/>
        <v>1</v>
      </c>
      <c r="Y150">
        <v>149</v>
      </c>
      <c r="Z150" s="4">
        <f t="shared" si="10"/>
        <v>147</v>
      </c>
    </row>
    <row r="151" spans="1:26" x14ac:dyDescent="0.2">
      <c r="A151" s="11">
        <v>34</v>
      </c>
      <c r="B151" s="4">
        <v>1014</v>
      </c>
      <c r="C151" s="4">
        <v>3</v>
      </c>
      <c r="D151" s="4">
        <v>2</v>
      </c>
      <c r="E151" s="4">
        <v>1</v>
      </c>
      <c r="F151" s="4">
        <v>1</v>
      </c>
      <c r="G151" t="s">
        <v>150</v>
      </c>
      <c r="H151" s="4">
        <v>18</v>
      </c>
      <c r="I151" s="4">
        <v>105</v>
      </c>
      <c r="J151" s="4">
        <v>148</v>
      </c>
      <c r="K151" s="2">
        <v>17.1428571428571</v>
      </c>
      <c r="L151" s="2">
        <v>12.162162162162099</v>
      </c>
      <c r="M151" s="2">
        <v>2.76278183550333</v>
      </c>
      <c r="N151" s="1">
        <v>1.0932829553690401E-6</v>
      </c>
      <c r="O151" s="2">
        <v>5.9612674226323499</v>
      </c>
      <c r="P151" s="2">
        <v>4.4021435228331702</v>
      </c>
      <c r="Q151" s="3">
        <v>37.513025021180098</v>
      </c>
      <c r="R151" s="2">
        <v>10.6</v>
      </c>
      <c r="S151" s="2">
        <v>22.74</v>
      </c>
      <c r="T151" s="2">
        <v>1.48</v>
      </c>
      <c r="V151" s="4">
        <f t="shared" si="11"/>
        <v>73</v>
      </c>
      <c r="W151">
        <f t="shared" si="8"/>
        <v>3</v>
      </c>
      <c r="X151">
        <f t="shared" si="9"/>
        <v>1</v>
      </c>
      <c r="Y151">
        <v>150</v>
      </c>
      <c r="Z151" s="4">
        <f t="shared" si="10"/>
        <v>148</v>
      </c>
    </row>
    <row r="152" spans="1:26" x14ac:dyDescent="0.2">
      <c r="A152" s="11">
        <v>34</v>
      </c>
      <c r="B152" s="4">
        <v>1014</v>
      </c>
      <c r="C152" s="4">
        <v>3</v>
      </c>
      <c r="D152" s="4">
        <v>2</v>
      </c>
      <c r="E152" s="4">
        <v>2</v>
      </c>
      <c r="F152" s="4">
        <v>2</v>
      </c>
      <c r="G152" t="s">
        <v>151</v>
      </c>
      <c r="H152" s="4">
        <v>8</v>
      </c>
      <c r="I152" s="4">
        <v>33</v>
      </c>
      <c r="J152" s="4">
        <v>101</v>
      </c>
      <c r="K152" s="2">
        <v>24.2424242424242</v>
      </c>
      <c r="L152" s="2">
        <v>7.9207920792079198</v>
      </c>
      <c r="M152" s="2">
        <v>0.78222778473091303</v>
      </c>
      <c r="N152" s="1">
        <v>8.6535865945005193E-6</v>
      </c>
      <c r="O152" s="2">
        <v>5.0628038560769397</v>
      </c>
      <c r="P152" s="2">
        <v>10.125940594059401</v>
      </c>
      <c r="Q152" s="3">
        <v>43.4041239749806</v>
      </c>
      <c r="R152" s="2">
        <v>2.2400000000000002</v>
      </c>
      <c r="S152" s="2">
        <v>22.74</v>
      </c>
      <c r="T152" s="2">
        <v>1.48</v>
      </c>
      <c r="V152" s="4">
        <f t="shared" si="11"/>
        <v>73</v>
      </c>
      <c r="W152">
        <f t="shared" si="8"/>
        <v>3</v>
      </c>
      <c r="X152">
        <f t="shared" si="9"/>
        <v>1</v>
      </c>
      <c r="Y152">
        <v>151</v>
      </c>
      <c r="Z152" s="4">
        <f t="shared" si="10"/>
        <v>149</v>
      </c>
    </row>
    <row r="153" spans="1:26" x14ac:dyDescent="0.2">
      <c r="A153" s="11">
        <v>34</v>
      </c>
      <c r="B153" s="4">
        <v>1014</v>
      </c>
      <c r="C153" s="4">
        <v>3</v>
      </c>
      <c r="D153" s="4">
        <v>2</v>
      </c>
      <c r="E153" s="4">
        <v>2</v>
      </c>
      <c r="F153" s="4">
        <v>2</v>
      </c>
      <c r="G153" t="s">
        <v>152</v>
      </c>
      <c r="H153" s="4">
        <v>11</v>
      </c>
      <c r="I153" s="4">
        <v>122</v>
      </c>
      <c r="J153" s="4">
        <v>101</v>
      </c>
      <c r="K153" s="2">
        <v>9.0163934426229506</v>
      </c>
      <c r="L153" s="2">
        <v>10.8910891089108</v>
      </c>
      <c r="M153" s="2">
        <v>3.4730913642052501</v>
      </c>
      <c r="N153" s="1">
        <v>2.1284428646934799E-3</v>
      </c>
      <c r="O153" s="2">
        <v>2.6719380034062099</v>
      </c>
      <c r="P153" s="2">
        <v>3.1358487200071301</v>
      </c>
      <c r="Q153" s="3">
        <v>13.1087304159723</v>
      </c>
      <c r="R153" s="2">
        <v>1.92</v>
      </c>
      <c r="S153" s="2">
        <v>22.74</v>
      </c>
      <c r="T153" s="2">
        <v>1.48</v>
      </c>
      <c r="V153" s="4">
        <f t="shared" si="11"/>
        <v>73</v>
      </c>
      <c r="W153">
        <f t="shared" si="8"/>
        <v>3</v>
      </c>
      <c r="X153">
        <f t="shared" si="9"/>
        <v>1</v>
      </c>
      <c r="Y153">
        <v>152</v>
      </c>
      <c r="Z153" s="4">
        <f t="shared" si="10"/>
        <v>149</v>
      </c>
    </row>
    <row r="154" spans="1:26" x14ac:dyDescent="0.2">
      <c r="A154" s="11">
        <v>34</v>
      </c>
      <c r="B154" s="4">
        <v>1465</v>
      </c>
      <c r="C154" s="4">
        <v>2</v>
      </c>
      <c r="D154" s="4">
        <v>2</v>
      </c>
      <c r="E154" s="4">
        <v>1</v>
      </c>
      <c r="F154" s="4">
        <v>1</v>
      </c>
      <c r="G154" t="s">
        <v>153</v>
      </c>
      <c r="H154" s="4">
        <v>4</v>
      </c>
      <c r="I154" s="4">
        <v>14</v>
      </c>
      <c r="J154" s="4">
        <v>18</v>
      </c>
      <c r="K154" s="2">
        <v>28.571428571428498</v>
      </c>
      <c r="L154" s="2">
        <v>22.2222222222222</v>
      </c>
      <c r="M154" s="2">
        <v>0.30497102775236301</v>
      </c>
      <c r="N154" s="1">
        <v>1.2047807515495999E-6</v>
      </c>
      <c r="O154" s="2">
        <v>5.9190919796913199</v>
      </c>
      <c r="P154" s="2">
        <v>72.866666666666603</v>
      </c>
      <c r="Q154" s="3">
        <v>154.846585633133</v>
      </c>
      <c r="R154" s="2">
        <v>1</v>
      </c>
      <c r="S154" s="2">
        <v>19.54</v>
      </c>
      <c r="T154" s="2">
        <v>1.27</v>
      </c>
      <c r="V154" s="4">
        <f t="shared" si="11"/>
        <v>74</v>
      </c>
      <c r="W154">
        <f t="shared" si="8"/>
        <v>3</v>
      </c>
      <c r="X154">
        <f t="shared" si="9"/>
        <v>1</v>
      </c>
      <c r="Y154">
        <v>153</v>
      </c>
      <c r="Z154" s="4">
        <f t="shared" si="10"/>
        <v>150</v>
      </c>
    </row>
    <row r="155" spans="1:26" x14ac:dyDescent="0.2">
      <c r="A155" s="11">
        <v>34</v>
      </c>
      <c r="B155" s="4">
        <v>1465</v>
      </c>
      <c r="C155" s="4">
        <v>2</v>
      </c>
      <c r="D155" s="4">
        <v>2</v>
      </c>
      <c r="E155" s="4">
        <v>1</v>
      </c>
      <c r="F155" s="4">
        <v>2</v>
      </c>
      <c r="G155" t="s">
        <v>154</v>
      </c>
      <c r="H155" s="4">
        <v>4</v>
      </c>
      <c r="I155" s="4">
        <v>18</v>
      </c>
      <c r="J155" s="4">
        <v>14</v>
      </c>
      <c r="K155" s="2">
        <v>22.2222222222222</v>
      </c>
      <c r="L155" s="2">
        <v>28.571428571428498</v>
      </c>
      <c r="M155" s="2">
        <v>0.42643923240938097</v>
      </c>
      <c r="N155" s="1">
        <v>1.2047807515495999E-6</v>
      </c>
      <c r="O155" s="2">
        <v>5.9190919796913199</v>
      </c>
      <c r="P155" s="2">
        <v>67</v>
      </c>
      <c r="Q155" s="3">
        <v>154.846585633133</v>
      </c>
      <c r="R155" s="2">
        <v>4.57</v>
      </c>
      <c r="S155" s="2">
        <v>19.54</v>
      </c>
      <c r="T155" s="2">
        <v>1.27</v>
      </c>
      <c r="V155" s="4">
        <f t="shared" si="11"/>
        <v>74</v>
      </c>
      <c r="W155">
        <f t="shared" si="8"/>
        <v>3</v>
      </c>
      <c r="X155">
        <f t="shared" si="9"/>
        <v>1</v>
      </c>
      <c r="Y155">
        <v>154</v>
      </c>
      <c r="Z155" s="4">
        <f t="shared" si="10"/>
        <v>151</v>
      </c>
    </row>
    <row r="156" spans="1:26" x14ac:dyDescent="0.2">
      <c r="A156" s="11">
        <v>35</v>
      </c>
      <c r="B156" s="4">
        <v>700</v>
      </c>
      <c r="C156" s="4">
        <v>2</v>
      </c>
      <c r="D156" s="4">
        <v>2</v>
      </c>
      <c r="E156" s="4">
        <v>1</v>
      </c>
      <c r="F156" s="4">
        <v>1</v>
      </c>
      <c r="G156" t="s">
        <v>155</v>
      </c>
      <c r="H156" s="4">
        <v>5</v>
      </c>
      <c r="I156" s="4">
        <v>8</v>
      </c>
      <c r="J156" s="4">
        <v>130</v>
      </c>
      <c r="K156" s="2">
        <v>62.5</v>
      </c>
      <c r="L156" s="2">
        <v>3.84615384615384</v>
      </c>
      <c r="M156" s="2">
        <v>9.4726870855699405E-2</v>
      </c>
      <c r="N156" s="1">
        <v>8.9948640160812397E-6</v>
      </c>
      <c r="O156" s="2">
        <v>5.0460053979117498</v>
      </c>
      <c r="P156" s="2">
        <v>40.602564102564102</v>
      </c>
      <c r="Q156" s="3">
        <v>57.931066192823202</v>
      </c>
      <c r="R156" s="2">
        <v>0.6</v>
      </c>
      <c r="S156" s="2">
        <v>23.07</v>
      </c>
      <c r="T156" s="2">
        <v>1.5</v>
      </c>
      <c r="V156" s="4">
        <f t="shared" si="11"/>
        <v>75</v>
      </c>
      <c r="W156">
        <f t="shared" si="8"/>
        <v>3</v>
      </c>
      <c r="X156">
        <f t="shared" si="9"/>
        <v>1</v>
      </c>
      <c r="Y156">
        <v>155</v>
      </c>
      <c r="Z156" s="4">
        <f t="shared" si="10"/>
        <v>152</v>
      </c>
    </row>
    <row r="157" spans="1:26" x14ac:dyDescent="0.2">
      <c r="A157" s="11">
        <v>35</v>
      </c>
      <c r="B157" s="4">
        <v>700</v>
      </c>
      <c r="C157" s="4">
        <v>2</v>
      </c>
      <c r="D157" s="4">
        <v>2</v>
      </c>
      <c r="E157" s="4">
        <v>1</v>
      </c>
      <c r="F157" s="4">
        <v>2</v>
      </c>
      <c r="G157" t="s">
        <v>156</v>
      </c>
      <c r="H157" s="4">
        <v>5</v>
      </c>
      <c r="I157" s="4">
        <v>132</v>
      </c>
      <c r="J157" s="4">
        <v>8</v>
      </c>
      <c r="K157" s="2">
        <v>3.7878787878787801</v>
      </c>
      <c r="L157" s="2">
        <v>62.5</v>
      </c>
      <c r="M157" s="2">
        <v>3.8613560352690701</v>
      </c>
      <c r="N157" s="1">
        <v>9.7047724918565698E-6</v>
      </c>
      <c r="O157" s="2">
        <v>5.0130146412843102</v>
      </c>
      <c r="P157" s="2">
        <v>16.186023622047198</v>
      </c>
      <c r="Q157" s="3">
        <v>56.957037456080002</v>
      </c>
      <c r="R157" s="2">
        <v>3.46</v>
      </c>
      <c r="S157" s="2">
        <v>23.07</v>
      </c>
      <c r="T157" s="2">
        <v>1.5</v>
      </c>
      <c r="V157" s="4">
        <f t="shared" si="11"/>
        <v>75</v>
      </c>
      <c r="W157">
        <f t="shared" si="8"/>
        <v>3</v>
      </c>
      <c r="X157">
        <f t="shared" si="9"/>
        <v>1</v>
      </c>
      <c r="Y157">
        <v>156</v>
      </c>
      <c r="Z157" s="4">
        <f t="shared" si="10"/>
        <v>153</v>
      </c>
    </row>
    <row r="158" spans="1:26" x14ac:dyDescent="0.2">
      <c r="A158" s="11">
        <v>35</v>
      </c>
      <c r="B158" s="4">
        <v>904</v>
      </c>
      <c r="C158" s="4">
        <v>2</v>
      </c>
      <c r="D158" s="4">
        <v>2</v>
      </c>
      <c r="E158" s="4">
        <v>1</v>
      </c>
      <c r="F158" s="4">
        <v>1</v>
      </c>
      <c r="G158" t="s">
        <v>148</v>
      </c>
      <c r="H158" s="4">
        <v>11</v>
      </c>
      <c r="I158" s="4">
        <v>34</v>
      </c>
      <c r="J158" s="4">
        <v>209</v>
      </c>
      <c r="K158" s="2">
        <v>32.352941176470502</v>
      </c>
      <c r="L158" s="2">
        <v>5.2631578947368398</v>
      </c>
      <c r="M158" s="2">
        <v>0.74481865284974003</v>
      </c>
      <c r="N158" s="1">
        <v>8.0223575048369105E-6</v>
      </c>
      <c r="O158" s="2">
        <v>5.0956979882134599</v>
      </c>
      <c r="P158" s="2">
        <v>7.06636155606407</v>
      </c>
      <c r="Q158" s="3">
        <v>34.8545507736643</v>
      </c>
      <c r="R158" s="2">
        <v>2.52</v>
      </c>
      <c r="S158" s="2">
        <v>22.23</v>
      </c>
      <c r="T158" s="2">
        <v>1.45</v>
      </c>
      <c r="V158" s="4">
        <f t="shared" si="11"/>
        <v>76</v>
      </c>
      <c r="W158">
        <f t="shared" si="8"/>
        <v>3</v>
      </c>
      <c r="X158">
        <f t="shared" si="9"/>
        <v>1</v>
      </c>
      <c r="Y158">
        <v>157</v>
      </c>
      <c r="Z158" s="4">
        <f t="shared" si="10"/>
        <v>154</v>
      </c>
    </row>
    <row r="159" spans="1:26" x14ac:dyDescent="0.2">
      <c r="A159" s="11">
        <v>35</v>
      </c>
      <c r="B159" s="4">
        <v>904</v>
      </c>
      <c r="C159" s="4">
        <v>2</v>
      </c>
      <c r="D159" s="4">
        <v>2</v>
      </c>
      <c r="E159" s="4">
        <v>1</v>
      </c>
      <c r="F159" s="4">
        <v>2</v>
      </c>
      <c r="G159" t="s">
        <v>157</v>
      </c>
      <c r="H159" s="4">
        <v>11</v>
      </c>
      <c r="I159" s="4">
        <v>218</v>
      </c>
      <c r="J159" s="4">
        <v>33</v>
      </c>
      <c r="K159" s="2">
        <v>5.0458715596330199</v>
      </c>
      <c r="L159" s="2">
        <v>33.3333333333333</v>
      </c>
      <c r="M159" s="2">
        <v>6.3419117647058796</v>
      </c>
      <c r="N159" s="1">
        <v>8.7132333043904292E-6</v>
      </c>
      <c r="O159" s="2">
        <v>5.0598206571982303</v>
      </c>
      <c r="P159" s="2">
        <v>5.2560386473429901</v>
      </c>
      <c r="Q159" s="3">
        <v>34.297787978892501</v>
      </c>
      <c r="R159" s="2">
        <v>16.510000000000002</v>
      </c>
      <c r="S159" s="2">
        <v>22.23</v>
      </c>
      <c r="T159" s="2">
        <v>1.45</v>
      </c>
      <c r="V159" s="4">
        <f t="shared" si="11"/>
        <v>76</v>
      </c>
      <c r="W159">
        <f t="shared" si="8"/>
        <v>3</v>
      </c>
      <c r="X159">
        <f t="shared" si="9"/>
        <v>1</v>
      </c>
      <c r="Y159">
        <v>158</v>
      </c>
      <c r="Z159" s="4">
        <f t="shared" si="10"/>
        <v>155</v>
      </c>
    </row>
    <row r="160" spans="1:26" x14ac:dyDescent="0.2">
      <c r="A160" s="11">
        <v>35</v>
      </c>
      <c r="B160" s="4">
        <v>1018</v>
      </c>
      <c r="C160" s="4">
        <v>2</v>
      </c>
      <c r="D160" s="4">
        <v>2</v>
      </c>
      <c r="E160" s="4">
        <v>1</v>
      </c>
      <c r="F160" s="4">
        <v>1</v>
      </c>
      <c r="G160" t="s">
        <v>158</v>
      </c>
      <c r="H160" s="4">
        <v>4</v>
      </c>
      <c r="I160" s="4">
        <v>4</v>
      </c>
      <c r="J160" s="4">
        <v>139</v>
      </c>
      <c r="K160" s="2">
        <v>100</v>
      </c>
      <c r="L160" s="2">
        <v>2.8776978417266101</v>
      </c>
      <c r="M160" s="2">
        <v>0</v>
      </c>
      <c r="N160" s="1">
        <v>6.0603568022134204E-6</v>
      </c>
      <c r="O160" s="2">
        <v>5.2175018060860499</v>
      </c>
      <c r="P160" s="2" t="s">
        <v>131</v>
      </c>
      <c r="Q160" s="3">
        <v>68.789445375965002</v>
      </c>
      <c r="R160" s="2">
        <v>0.42</v>
      </c>
      <c r="S160" s="2">
        <v>21.93</v>
      </c>
      <c r="T160" s="2">
        <v>1.43</v>
      </c>
      <c r="V160" s="4">
        <f t="shared" si="11"/>
        <v>77</v>
      </c>
      <c r="W160">
        <f t="shared" si="8"/>
        <v>3</v>
      </c>
      <c r="X160">
        <f t="shared" si="9"/>
        <v>1</v>
      </c>
      <c r="Y160">
        <v>159</v>
      </c>
      <c r="Z160" s="4">
        <f t="shared" si="10"/>
        <v>156</v>
      </c>
    </row>
    <row r="161" spans="1:26" x14ac:dyDescent="0.2">
      <c r="A161" s="11">
        <v>35</v>
      </c>
      <c r="B161" s="4">
        <v>1018</v>
      </c>
      <c r="C161" s="4">
        <v>2</v>
      </c>
      <c r="D161" s="4">
        <v>2</v>
      </c>
      <c r="E161" s="4">
        <v>1</v>
      </c>
      <c r="F161" s="4">
        <v>2</v>
      </c>
      <c r="G161" t="s">
        <v>132</v>
      </c>
      <c r="H161" s="4">
        <v>4</v>
      </c>
      <c r="I161" s="4">
        <v>141</v>
      </c>
      <c r="J161" s="4">
        <v>4</v>
      </c>
      <c r="K161" s="2">
        <v>2.83687943262411</v>
      </c>
      <c r="L161" s="2">
        <v>100</v>
      </c>
      <c r="M161" s="2">
        <v>4.1603401153962896</v>
      </c>
      <c r="N161" s="1">
        <v>6.4207515712587298E-6</v>
      </c>
      <c r="O161" s="2">
        <v>5.1924141332790601</v>
      </c>
      <c r="P161" s="2">
        <v>24.036496350364899</v>
      </c>
      <c r="Q161" s="3">
        <v>67.757870124730204</v>
      </c>
      <c r="R161" s="2">
        <v>63.96</v>
      </c>
      <c r="S161" s="2">
        <v>21.93</v>
      </c>
      <c r="T161" s="2">
        <v>1.43</v>
      </c>
      <c r="V161" s="4">
        <f t="shared" si="11"/>
        <v>77</v>
      </c>
      <c r="W161">
        <f t="shared" si="8"/>
        <v>3</v>
      </c>
      <c r="X161">
        <f t="shared" si="9"/>
        <v>1</v>
      </c>
      <c r="Y161">
        <v>160</v>
      </c>
      <c r="Z161" s="4">
        <f t="shared" si="10"/>
        <v>157</v>
      </c>
    </row>
    <row r="162" spans="1:26" x14ac:dyDescent="0.2">
      <c r="A162" s="11">
        <v>36</v>
      </c>
      <c r="B162" s="4">
        <v>956</v>
      </c>
      <c r="C162" s="4">
        <v>2</v>
      </c>
      <c r="D162" s="4">
        <v>2</v>
      </c>
      <c r="E162" s="4">
        <v>1</v>
      </c>
      <c r="F162" s="4">
        <v>1</v>
      </c>
      <c r="G162" t="s">
        <v>143</v>
      </c>
      <c r="H162" s="4">
        <v>18</v>
      </c>
      <c r="I162" s="4">
        <v>192</v>
      </c>
      <c r="J162" s="4">
        <v>94</v>
      </c>
      <c r="K162" s="2">
        <v>9.375</v>
      </c>
      <c r="L162" s="2">
        <v>19.1489361702127</v>
      </c>
      <c r="M162" s="2">
        <v>5.4324071183265596</v>
      </c>
      <c r="N162" s="1">
        <v>9.58851047477305E-6</v>
      </c>
      <c r="O162" s="2">
        <v>5.0182488529784299</v>
      </c>
      <c r="P162" s="2">
        <v>3.5249449743213499</v>
      </c>
      <c r="Q162" s="3">
        <v>31.327761334867699</v>
      </c>
      <c r="R162" s="2">
        <v>56.44</v>
      </c>
      <c r="S162" s="2">
        <v>21.41</v>
      </c>
      <c r="T162" s="2">
        <v>1.4</v>
      </c>
      <c r="V162" s="4">
        <f t="shared" si="11"/>
        <v>78</v>
      </c>
      <c r="W162">
        <f t="shared" si="8"/>
        <v>3</v>
      </c>
      <c r="X162">
        <f t="shared" si="9"/>
        <v>1</v>
      </c>
      <c r="Y162">
        <v>161</v>
      </c>
      <c r="Z162" s="4">
        <f t="shared" si="10"/>
        <v>158</v>
      </c>
    </row>
    <row r="163" spans="1:26" x14ac:dyDescent="0.2">
      <c r="A163" s="11">
        <v>36</v>
      </c>
      <c r="B163" s="4">
        <v>956</v>
      </c>
      <c r="C163" s="4">
        <v>2</v>
      </c>
      <c r="D163" s="4">
        <v>2</v>
      </c>
      <c r="E163" s="4">
        <v>1</v>
      </c>
      <c r="F163" s="4">
        <v>2</v>
      </c>
      <c r="G163" t="s">
        <v>159</v>
      </c>
      <c r="H163" s="4">
        <v>18</v>
      </c>
      <c r="I163" s="4">
        <v>96</v>
      </c>
      <c r="J163" s="4">
        <v>185</v>
      </c>
      <c r="K163" s="2">
        <v>18.75</v>
      </c>
      <c r="L163" s="2">
        <v>9.7297297297297298</v>
      </c>
      <c r="M163" s="2">
        <v>2.5064267352185001</v>
      </c>
      <c r="N163" s="1">
        <v>7.6831999462719306E-6</v>
      </c>
      <c r="O163" s="2">
        <v>5.11445786466005</v>
      </c>
      <c r="P163" s="2">
        <v>3.8819126819126799</v>
      </c>
      <c r="Q163" s="3">
        <v>32.2288657728432</v>
      </c>
      <c r="R163" s="2">
        <v>11.44</v>
      </c>
      <c r="S163" s="2">
        <v>21.41</v>
      </c>
      <c r="T163" s="2">
        <v>1.4</v>
      </c>
      <c r="V163" s="4">
        <f t="shared" si="11"/>
        <v>78</v>
      </c>
      <c r="W163">
        <f t="shared" si="8"/>
        <v>3</v>
      </c>
      <c r="X163">
        <f t="shared" si="9"/>
        <v>1</v>
      </c>
      <c r="Y163">
        <v>162</v>
      </c>
      <c r="Z163" s="4">
        <f t="shared" si="10"/>
        <v>159</v>
      </c>
    </row>
    <row r="164" spans="1:26" x14ac:dyDescent="0.2">
      <c r="A164" s="11">
        <v>37</v>
      </c>
      <c r="B164" s="4">
        <v>877</v>
      </c>
      <c r="C164" s="4">
        <v>2</v>
      </c>
      <c r="D164" s="4">
        <v>2</v>
      </c>
      <c r="E164" s="4">
        <v>1</v>
      </c>
      <c r="F164" s="4">
        <v>1</v>
      </c>
      <c r="G164" t="s">
        <v>160</v>
      </c>
      <c r="H164" s="4">
        <v>5</v>
      </c>
      <c r="I164" s="4">
        <v>81</v>
      </c>
      <c r="J164" s="4">
        <v>10</v>
      </c>
      <c r="K164" s="2">
        <v>6.1728395061728296</v>
      </c>
      <c r="L164" s="2">
        <v>50</v>
      </c>
      <c r="M164" s="2">
        <v>2.3121387283236898</v>
      </c>
      <c r="N164" s="1">
        <v>3.6206277005034199E-6</v>
      </c>
      <c r="O164" s="2">
        <v>5.4412161302312096</v>
      </c>
      <c r="P164" s="2">
        <v>21.625</v>
      </c>
      <c r="Q164" s="3">
        <v>75.755961770191405</v>
      </c>
      <c r="R164" s="2">
        <v>8.3800000000000008</v>
      </c>
      <c r="S164" s="2">
        <v>21.17</v>
      </c>
      <c r="T164" s="2">
        <v>1.38</v>
      </c>
      <c r="V164" s="4">
        <f t="shared" si="11"/>
        <v>79</v>
      </c>
      <c r="W164">
        <f t="shared" si="8"/>
        <v>3</v>
      </c>
      <c r="X164">
        <f t="shared" si="9"/>
        <v>1</v>
      </c>
      <c r="Y164">
        <v>163</v>
      </c>
      <c r="Z164" s="4">
        <f t="shared" si="10"/>
        <v>160</v>
      </c>
    </row>
    <row r="165" spans="1:26" x14ac:dyDescent="0.2">
      <c r="A165" s="11">
        <v>37</v>
      </c>
      <c r="B165" s="4">
        <v>877</v>
      </c>
      <c r="C165" s="4">
        <v>2</v>
      </c>
      <c r="D165" s="4">
        <v>2</v>
      </c>
      <c r="E165" s="4">
        <v>1</v>
      </c>
      <c r="F165" s="4">
        <v>2</v>
      </c>
      <c r="G165" t="s">
        <v>161</v>
      </c>
      <c r="H165" s="4">
        <v>5</v>
      </c>
      <c r="I165" s="4">
        <v>10</v>
      </c>
      <c r="J165" s="4">
        <v>77</v>
      </c>
      <c r="K165" s="2">
        <v>50</v>
      </c>
      <c r="L165" s="2">
        <v>6.4935064935064899</v>
      </c>
      <c r="M165" s="2">
        <v>0.15527950310558999</v>
      </c>
      <c r="N165" s="1">
        <v>2.8064252540268101E-6</v>
      </c>
      <c r="O165" s="2">
        <v>5.5518465202342497</v>
      </c>
      <c r="P165" s="2">
        <v>41.818181818181799</v>
      </c>
      <c r="Q165" s="3">
        <v>80.046942345940593</v>
      </c>
      <c r="R165" s="2">
        <v>2.88</v>
      </c>
      <c r="S165" s="2">
        <v>21.17</v>
      </c>
      <c r="T165" s="2">
        <v>1.38</v>
      </c>
      <c r="V165" s="4">
        <f t="shared" si="11"/>
        <v>79</v>
      </c>
      <c r="W165">
        <f t="shared" si="8"/>
        <v>3</v>
      </c>
      <c r="X165">
        <f t="shared" si="9"/>
        <v>1</v>
      </c>
      <c r="Y165">
        <v>164</v>
      </c>
      <c r="Z165" s="4">
        <f t="shared" si="10"/>
        <v>161</v>
      </c>
    </row>
    <row r="166" spans="1:26" x14ac:dyDescent="0.2">
      <c r="A166" s="11">
        <v>37</v>
      </c>
      <c r="B166" s="4">
        <v>1241</v>
      </c>
      <c r="C166" s="4">
        <v>2</v>
      </c>
      <c r="D166" s="4">
        <v>2</v>
      </c>
      <c r="E166" s="4">
        <v>1</v>
      </c>
      <c r="F166" s="4">
        <v>1</v>
      </c>
      <c r="G166" t="s">
        <v>162</v>
      </c>
      <c r="H166" s="4">
        <v>6</v>
      </c>
      <c r="I166" s="4">
        <v>107</v>
      </c>
      <c r="J166" s="4">
        <v>15</v>
      </c>
      <c r="K166" s="2">
        <v>5.6074766355140104</v>
      </c>
      <c r="L166" s="2">
        <v>40</v>
      </c>
      <c r="M166" s="2">
        <v>3.0773918342474098</v>
      </c>
      <c r="N166" s="1">
        <v>8.0164262680285103E-6</v>
      </c>
      <c r="O166" s="2">
        <v>5.0960191975483697</v>
      </c>
      <c r="P166" s="2">
        <v>12.998019801980099</v>
      </c>
      <c r="Q166" s="3">
        <v>53.602066705431398</v>
      </c>
      <c r="R166" s="2">
        <v>3.06</v>
      </c>
      <c r="S166" s="2">
        <v>22.2</v>
      </c>
      <c r="T166" s="2">
        <v>1.45</v>
      </c>
      <c r="V166" s="4">
        <f t="shared" si="11"/>
        <v>80</v>
      </c>
      <c r="W166">
        <f t="shared" si="8"/>
        <v>3</v>
      </c>
      <c r="X166">
        <f t="shared" si="9"/>
        <v>1</v>
      </c>
      <c r="Y166">
        <v>165</v>
      </c>
      <c r="Z166" s="4">
        <f t="shared" si="10"/>
        <v>162</v>
      </c>
    </row>
    <row r="167" spans="1:26" x14ac:dyDescent="0.2">
      <c r="A167" s="11">
        <v>37</v>
      </c>
      <c r="B167" s="4">
        <v>1241</v>
      </c>
      <c r="C167" s="4">
        <v>2</v>
      </c>
      <c r="D167" s="4">
        <v>2</v>
      </c>
      <c r="E167" s="4">
        <v>1</v>
      </c>
      <c r="F167" s="4">
        <v>2</v>
      </c>
      <c r="G167" t="s">
        <v>163</v>
      </c>
      <c r="H167" s="4">
        <v>6</v>
      </c>
      <c r="I167" s="4">
        <v>15</v>
      </c>
      <c r="J167" s="4">
        <v>103</v>
      </c>
      <c r="K167" s="2">
        <v>40</v>
      </c>
      <c r="L167" s="2">
        <v>5.8252427184466002</v>
      </c>
      <c r="M167" s="2">
        <v>0.28177833437695599</v>
      </c>
      <c r="N167" s="1">
        <v>6.4034820292879197E-6</v>
      </c>
      <c r="O167" s="2">
        <v>5.1935838049413396</v>
      </c>
      <c r="P167" s="2">
        <v>20.673139158575999</v>
      </c>
      <c r="Q167" s="3">
        <v>56.018465624809203</v>
      </c>
      <c r="R167" s="2">
        <v>1.5</v>
      </c>
      <c r="S167" s="2">
        <v>22.2</v>
      </c>
      <c r="T167" s="2">
        <v>1.45</v>
      </c>
      <c r="V167" s="4">
        <f t="shared" si="11"/>
        <v>80</v>
      </c>
      <c r="W167">
        <f t="shared" si="8"/>
        <v>3</v>
      </c>
      <c r="X167">
        <f t="shared" si="9"/>
        <v>1</v>
      </c>
      <c r="Y167">
        <v>166</v>
      </c>
      <c r="Z167" s="4">
        <f t="shared" si="10"/>
        <v>163</v>
      </c>
    </row>
    <row r="168" spans="1:26" x14ac:dyDescent="0.2">
      <c r="A168" s="11">
        <v>37</v>
      </c>
      <c r="B168" s="4">
        <v>1432</v>
      </c>
      <c r="C168" s="4">
        <v>2</v>
      </c>
      <c r="D168" s="4">
        <v>2</v>
      </c>
      <c r="E168" s="4">
        <v>1</v>
      </c>
      <c r="F168" s="4">
        <v>1</v>
      </c>
      <c r="G168" t="s">
        <v>164</v>
      </c>
      <c r="H168" s="4">
        <v>5</v>
      </c>
      <c r="I168" s="4">
        <v>14</v>
      </c>
      <c r="J168" s="4">
        <v>33</v>
      </c>
      <c r="K168" s="2">
        <v>35.714285714285701</v>
      </c>
      <c r="L168" s="2">
        <v>15.151515151515101</v>
      </c>
      <c r="M168" s="2">
        <v>0.27573529411764702</v>
      </c>
      <c r="N168" s="1">
        <v>2.7539316496908999E-7</v>
      </c>
      <c r="O168" s="2">
        <v>6.5600468427756899</v>
      </c>
      <c r="P168" s="2">
        <v>54.949494949494898</v>
      </c>
      <c r="Q168" s="3">
        <v>137.60728718747501</v>
      </c>
      <c r="R168" s="2">
        <v>0.6</v>
      </c>
      <c r="S168" s="2">
        <v>19.86</v>
      </c>
      <c r="T168" s="2">
        <v>1.29</v>
      </c>
      <c r="V168" s="4">
        <f t="shared" si="11"/>
        <v>81</v>
      </c>
      <c r="W168">
        <f t="shared" si="8"/>
        <v>3</v>
      </c>
      <c r="X168">
        <f t="shared" si="9"/>
        <v>1</v>
      </c>
      <c r="Y168">
        <v>167</v>
      </c>
      <c r="Z168" s="4">
        <f t="shared" si="10"/>
        <v>164</v>
      </c>
    </row>
    <row r="169" spans="1:26" x14ac:dyDescent="0.2">
      <c r="A169" s="11">
        <v>37</v>
      </c>
      <c r="B169" s="4">
        <v>1432</v>
      </c>
      <c r="C169" s="4">
        <v>2</v>
      </c>
      <c r="D169" s="4">
        <v>2</v>
      </c>
      <c r="E169" s="4">
        <v>1</v>
      </c>
      <c r="F169" s="4">
        <v>2</v>
      </c>
      <c r="G169" t="s">
        <v>165</v>
      </c>
      <c r="H169" s="4">
        <v>5</v>
      </c>
      <c r="I169" s="4">
        <v>33</v>
      </c>
      <c r="J169" s="4">
        <v>14</v>
      </c>
      <c r="K169" s="2">
        <v>15.151515151515101</v>
      </c>
      <c r="L169" s="2">
        <v>35.714285714285701</v>
      </c>
      <c r="M169" s="2">
        <v>0.85287846481876295</v>
      </c>
      <c r="N169" s="1">
        <v>2.7539316496908999E-7</v>
      </c>
      <c r="O169" s="2">
        <v>6.5600468427756899</v>
      </c>
      <c r="P169" s="2">
        <v>41.875</v>
      </c>
      <c r="Q169" s="3">
        <v>137.60728718747501</v>
      </c>
      <c r="R169" s="2">
        <v>7.27</v>
      </c>
      <c r="S169" s="2">
        <v>19.86</v>
      </c>
      <c r="T169" s="2">
        <v>1.29</v>
      </c>
      <c r="V169" s="4">
        <f t="shared" si="11"/>
        <v>81</v>
      </c>
      <c r="W169">
        <f t="shared" si="8"/>
        <v>3</v>
      </c>
      <c r="X169">
        <f t="shared" si="9"/>
        <v>1</v>
      </c>
      <c r="Y169">
        <v>168</v>
      </c>
      <c r="Z169" s="4">
        <f t="shared" si="10"/>
        <v>165</v>
      </c>
    </row>
    <row r="170" spans="1:26" x14ac:dyDescent="0.2">
      <c r="A170" s="11">
        <v>38</v>
      </c>
      <c r="B170" s="4">
        <v>533</v>
      </c>
      <c r="C170" s="4">
        <v>2</v>
      </c>
      <c r="D170" s="4">
        <v>2</v>
      </c>
      <c r="E170" s="4">
        <v>1</v>
      </c>
      <c r="F170" s="4">
        <v>1</v>
      </c>
      <c r="G170" t="s">
        <v>166</v>
      </c>
      <c r="H170" s="4">
        <v>4</v>
      </c>
      <c r="I170" s="4">
        <v>6</v>
      </c>
      <c r="J170" s="4">
        <v>73</v>
      </c>
      <c r="K170" s="2">
        <v>66.6666666666666</v>
      </c>
      <c r="L170" s="2">
        <v>5.4794520547945202</v>
      </c>
      <c r="M170" s="2">
        <v>6.2034739454094198E-2</v>
      </c>
      <c r="N170" s="1">
        <v>6.42344197555746E-6</v>
      </c>
      <c r="O170" s="2">
        <v>5.1922321946071097</v>
      </c>
      <c r="P170" s="2">
        <v>88.328767123287605</v>
      </c>
      <c r="Q170" s="3">
        <v>87.434986584941996</v>
      </c>
      <c r="R170" s="2">
        <v>0.42</v>
      </c>
      <c r="S170" s="2">
        <v>22.51</v>
      </c>
      <c r="T170" s="2">
        <v>1.47</v>
      </c>
      <c r="V170" s="4">
        <f t="shared" si="11"/>
        <v>82</v>
      </c>
      <c r="W170">
        <f t="shared" si="8"/>
        <v>3</v>
      </c>
      <c r="X170">
        <f t="shared" si="9"/>
        <v>1</v>
      </c>
      <c r="Y170">
        <v>169</v>
      </c>
      <c r="Z170" s="4">
        <f t="shared" si="10"/>
        <v>166</v>
      </c>
    </row>
    <row r="171" spans="1:26" x14ac:dyDescent="0.2">
      <c r="A171" s="11">
        <v>38</v>
      </c>
      <c r="B171" s="4">
        <v>533</v>
      </c>
      <c r="C171" s="4">
        <v>2</v>
      </c>
      <c r="D171" s="4">
        <v>2</v>
      </c>
      <c r="E171" s="4">
        <v>1</v>
      </c>
      <c r="F171" s="4">
        <v>2</v>
      </c>
      <c r="G171" t="s">
        <v>167</v>
      </c>
      <c r="H171" s="4">
        <v>4</v>
      </c>
      <c r="I171" s="4">
        <v>75</v>
      </c>
      <c r="J171" s="4">
        <v>6</v>
      </c>
      <c r="K171" s="2">
        <v>5.3333333333333304</v>
      </c>
      <c r="L171" s="2">
        <v>66.6666666666666</v>
      </c>
      <c r="M171" s="2">
        <v>2.1573989668793598</v>
      </c>
      <c r="N171" s="1">
        <v>7.1659756722869497E-6</v>
      </c>
      <c r="O171" s="2">
        <v>5.1447246705502403</v>
      </c>
      <c r="P171" s="2">
        <v>30.901408450704199</v>
      </c>
      <c r="Q171" s="3">
        <v>84.972216211528803</v>
      </c>
      <c r="R171" s="2">
        <v>3.2</v>
      </c>
      <c r="S171" s="2">
        <v>22.51</v>
      </c>
      <c r="T171" s="2">
        <v>1.47</v>
      </c>
      <c r="V171" s="4">
        <f t="shared" si="11"/>
        <v>82</v>
      </c>
      <c r="W171">
        <f t="shared" si="8"/>
        <v>3</v>
      </c>
      <c r="X171">
        <f t="shared" si="9"/>
        <v>1</v>
      </c>
      <c r="Y171">
        <v>170</v>
      </c>
      <c r="Z171" s="4">
        <f t="shared" si="10"/>
        <v>167</v>
      </c>
    </row>
    <row r="172" spans="1:26" x14ac:dyDescent="0.2">
      <c r="A172" s="11">
        <v>38</v>
      </c>
      <c r="B172" s="4">
        <v>1655</v>
      </c>
      <c r="C172" s="4">
        <v>2</v>
      </c>
      <c r="D172" s="4">
        <v>2</v>
      </c>
      <c r="E172" s="4">
        <v>1</v>
      </c>
      <c r="F172" s="4">
        <v>1</v>
      </c>
      <c r="G172" t="s">
        <v>25</v>
      </c>
      <c r="H172" s="4">
        <v>31</v>
      </c>
      <c r="I172" s="4">
        <v>157</v>
      </c>
      <c r="J172" s="4">
        <v>260</v>
      </c>
      <c r="K172" s="2">
        <v>19.7452229299363</v>
      </c>
      <c r="L172" s="2">
        <v>11.9230769230769</v>
      </c>
      <c r="M172" s="2">
        <v>4.1488310833058897</v>
      </c>
      <c r="N172" s="1">
        <v>1.71172495054554E-6</v>
      </c>
      <c r="O172" s="2">
        <v>5.7665660188977297</v>
      </c>
      <c r="P172" s="2">
        <v>2.87384004884004</v>
      </c>
      <c r="Q172" s="3">
        <v>31.9171662951799</v>
      </c>
      <c r="R172" s="2">
        <v>6.41</v>
      </c>
      <c r="S172" s="2">
        <v>22.07</v>
      </c>
      <c r="T172" s="2">
        <v>1.44</v>
      </c>
      <c r="V172" s="4">
        <f t="shared" si="11"/>
        <v>83</v>
      </c>
      <c r="W172">
        <f t="shared" si="8"/>
        <v>3</v>
      </c>
      <c r="X172">
        <f t="shared" si="9"/>
        <v>1</v>
      </c>
      <c r="Y172">
        <v>171</v>
      </c>
      <c r="Z172" s="4">
        <f t="shared" si="10"/>
        <v>168</v>
      </c>
    </row>
    <row r="173" spans="1:26" x14ac:dyDescent="0.2">
      <c r="A173" s="11">
        <v>38</v>
      </c>
      <c r="B173" s="4">
        <v>1655</v>
      </c>
      <c r="C173" s="4">
        <v>2</v>
      </c>
      <c r="D173" s="4">
        <v>2</v>
      </c>
      <c r="E173" s="4">
        <v>1</v>
      </c>
      <c r="F173" s="4">
        <v>2</v>
      </c>
      <c r="G173" t="s">
        <v>88</v>
      </c>
      <c r="H173" s="4">
        <v>31</v>
      </c>
      <c r="I173" s="4">
        <v>264</v>
      </c>
      <c r="J173" s="4">
        <v>154</v>
      </c>
      <c r="K173" s="2">
        <v>11.7424242424242</v>
      </c>
      <c r="L173" s="2">
        <v>20.129870129870099</v>
      </c>
      <c r="M173" s="2">
        <v>7.4132993954820199</v>
      </c>
      <c r="N173" s="1">
        <v>1.54398016603484E-6</v>
      </c>
      <c r="O173" s="2">
        <v>5.8113582829102199</v>
      </c>
      <c r="P173" s="2">
        <v>2.7153726102223898</v>
      </c>
      <c r="Q173" s="3">
        <v>32.229067086078899</v>
      </c>
      <c r="R173" s="2">
        <v>10.73</v>
      </c>
      <c r="S173" s="2">
        <v>22.07</v>
      </c>
      <c r="T173" s="2">
        <v>1.44</v>
      </c>
      <c r="V173" s="4">
        <f t="shared" si="11"/>
        <v>83</v>
      </c>
      <c r="W173">
        <f t="shared" si="8"/>
        <v>3</v>
      </c>
      <c r="X173">
        <f t="shared" si="9"/>
        <v>1</v>
      </c>
      <c r="Y173">
        <v>172</v>
      </c>
      <c r="Z173" s="4">
        <f t="shared" si="10"/>
        <v>169</v>
      </c>
    </row>
    <row r="174" spans="1:26" x14ac:dyDescent="0.2">
      <c r="A174" s="11">
        <v>38</v>
      </c>
      <c r="B174" s="4">
        <v>2872</v>
      </c>
      <c r="C174" s="4">
        <v>2</v>
      </c>
      <c r="D174" s="4">
        <v>2</v>
      </c>
      <c r="E174" s="4">
        <v>1</v>
      </c>
      <c r="F174" s="4">
        <v>1</v>
      </c>
      <c r="G174" t="s">
        <v>168</v>
      </c>
      <c r="H174" s="4">
        <v>4</v>
      </c>
      <c r="I174" s="4">
        <v>37</v>
      </c>
      <c r="J174" s="4">
        <v>10</v>
      </c>
      <c r="K174" s="2">
        <v>10.8108108108108</v>
      </c>
      <c r="L174" s="2">
        <v>40</v>
      </c>
      <c r="M174" s="2">
        <v>1.00395497414055</v>
      </c>
      <c r="N174" s="1">
        <v>5.37830176481842E-6</v>
      </c>
      <c r="O174" s="2">
        <v>5.2693548341099596</v>
      </c>
      <c r="P174" s="2">
        <v>39.842424242424201</v>
      </c>
      <c r="Q174" s="3">
        <v>103.745049884553</v>
      </c>
      <c r="R174" s="2">
        <v>48.39</v>
      </c>
      <c r="S174" s="2">
        <v>21.02</v>
      </c>
      <c r="T174" s="2">
        <v>1.37</v>
      </c>
      <c r="V174" s="4">
        <f t="shared" si="11"/>
        <v>84</v>
      </c>
      <c r="W174">
        <f t="shared" si="8"/>
        <v>3</v>
      </c>
      <c r="X174">
        <f t="shared" si="9"/>
        <v>1</v>
      </c>
      <c r="Y174">
        <v>173</v>
      </c>
      <c r="Z174" s="4">
        <f t="shared" si="10"/>
        <v>170</v>
      </c>
    </row>
    <row r="175" spans="1:26" x14ac:dyDescent="0.2">
      <c r="A175" s="11">
        <v>38</v>
      </c>
      <c r="B175" s="4">
        <v>2872</v>
      </c>
      <c r="C175" s="4">
        <v>2</v>
      </c>
      <c r="D175" s="4">
        <v>2</v>
      </c>
      <c r="E175" s="4">
        <v>1</v>
      </c>
      <c r="F175" s="4">
        <v>2</v>
      </c>
      <c r="G175" t="s">
        <v>169</v>
      </c>
      <c r="H175" s="4">
        <v>4</v>
      </c>
      <c r="I175" s="4">
        <v>10</v>
      </c>
      <c r="J175" s="4">
        <v>37</v>
      </c>
      <c r="K175" s="2">
        <v>40</v>
      </c>
      <c r="L175" s="2">
        <v>10.8108108108108</v>
      </c>
      <c r="M175" s="2">
        <v>0.184049079754601</v>
      </c>
      <c r="N175" s="1">
        <v>5.37830176481842E-6</v>
      </c>
      <c r="O175" s="2">
        <v>5.2693548341099596</v>
      </c>
      <c r="P175" s="2">
        <v>58.738738738738697</v>
      </c>
      <c r="Q175" s="3">
        <v>103.745049884553</v>
      </c>
      <c r="R175" s="2">
        <v>0.4</v>
      </c>
      <c r="S175" s="2">
        <v>21.02</v>
      </c>
      <c r="T175" s="2">
        <v>1.37</v>
      </c>
      <c r="V175" s="4">
        <f t="shared" si="11"/>
        <v>84</v>
      </c>
      <c r="W175">
        <f t="shared" si="8"/>
        <v>3</v>
      </c>
      <c r="X175">
        <f t="shared" si="9"/>
        <v>1</v>
      </c>
      <c r="Y175">
        <v>174</v>
      </c>
      <c r="Z175" s="4">
        <f t="shared" si="10"/>
        <v>171</v>
      </c>
    </row>
    <row r="176" spans="1:26" x14ac:dyDescent="0.2">
      <c r="A176" s="11">
        <v>39</v>
      </c>
      <c r="B176" s="4">
        <v>902</v>
      </c>
      <c r="C176" s="4">
        <v>2</v>
      </c>
      <c r="D176" s="4">
        <v>2</v>
      </c>
      <c r="E176" s="4">
        <v>1</v>
      </c>
      <c r="F176" s="4">
        <v>1</v>
      </c>
      <c r="G176" t="s">
        <v>170</v>
      </c>
      <c r="H176" s="4">
        <v>4</v>
      </c>
      <c r="I176" s="4">
        <v>9</v>
      </c>
      <c r="J176" s="4">
        <v>30</v>
      </c>
      <c r="K176" s="2">
        <v>44.4444444444444</v>
      </c>
      <c r="L176" s="2">
        <v>13.3333333333333</v>
      </c>
      <c r="M176" s="2">
        <v>0.15304560759106201</v>
      </c>
      <c r="N176" s="1">
        <v>1.36143629187261E-6</v>
      </c>
      <c r="O176" s="2">
        <v>5.8660026765682503</v>
      </c>
      <c r="P176" s="2">
        <v>87.119999999999905</v>
      </c>
      <c r="Q176" s="3">
        <v>144.372187021267</v>
      </c>
      <c r="R176" s="2">
        <v>0.45</v>
      </c>
      <c r="S176" s="2">
        <v>21.2</v>
      </c>
      <c r="T176" s="2">
        <v>1.38</v>
      </c>
      <c r="V176" s="4">
        <f t="shared" si="11"/>
        <v>85</v>
      </c>
      <c r="W176">
        <f t="shared" si="8"/>
        <v>3</v>
      </c>
      <c r="X176">
        <f t="shared" si="9"/>
        <v>1</v>
      </c>
      <c r="Y176">
        <v>175</v>
      </c>
      <c r="Z176" s="4">
        <f t="shared" si="10"/>
        <v>172</v>
      </c>
    </row>
    <row r="177" spans="1:26" x14ac:dyDescent="0.2">
      <c r="A177" s="11">
        <v>39</v>
      </c>
      <c r="B177" s="4">
        <v>902</v>
      </c>
      <c r="C177" s="4">
        <v>2</v>
      </c>
      <c r="D177" s="4">
        <v>2</v>
      </c>
      <c r="E177" s="4">
        <v>1</v>
      </c>
      <c r="F177" s="4">
        <v>2</v>
      </c>
      <c r="G177" t="s">
        <v>171</v>
      </c>
      <c r="H177" s="4">
        <v>4</v>
      </c>
      <c r="I177" s="4">
        <v>31</v>
      </c>
      <c r="J177" s="4">
        <v>9</v>
      </c>
      <c r="K177" s="2">
        <v>12.9032258064516</v>
      </c>
      <c r="L177" s="2">
        <v>44.4444444444444</v>
      </c>
      <c r="M177" s="2">
        <v>0.821167883211678</v>
      </c>
      <c r="N177" s="1">
        <v>1.56122180239172E-6</v>
      </c>
      <c r="O177" s="2">
        <v>5.8065353924456797</v>
      </c>
      <c r="P177" s="2">
        <v>54.123456790123399</v>
      </c>
      <c r="Q177" s="3">
        <v>139.534661915002</v>
      </c>
      <c r="R177" s="2">
        <v>40.85</v>
      </c>
      <c r="S177" s="2">
        <v>21.2</v>
      </c>
      <c r="T177" s="2">
        <v>1.38</v>
      </c>
      <c r="V177" s="4">
        <f t="shared" si="11"/>
        <v>85</v>
      </c>
      <c r="W177">
        <f t="shared" si="8"/>
        <v>3</v>
      </c>
      <c r="X177">
        <f t="shared" si="9"/>
        <v>1</v>
      </c>
      <c r="Y177">
        <v>176</v>
      </c>
      <c r="Z177" s="4">
        <f t="shared" si="10"/>
        <v>173</v>
      </c>
    </row>
    <row r="178" spans="1:26" x14ac:dyDescent="0.2">
      <c r="A178" s="11">
        <v>40</v>
      </c>
      <c r="B178" s="4">
        <v>856</v>
      </c>
      <c r="C178" s="4">
        <v>3</v>
      </c>
      <c r="D178" s="4">
        <v>3</v>
      </c>
      <c r="E178" s="4">
        <v>1</v>
      </c>
      <c r="F178" s="4">
        <v>1</v>
      </c>
      <c r="G178" t="s">
        <v>172</v>
      </c>
      <c r="H178" s="4">
        <v>4</v>
      </c>
      <c r="I178" s="4">
        <v>17</v>
      </c>
      <c r="J178" s="4">
        <v>17</v>
      </c>
      <c r="K178" s="2">
        <v>23.529411764705799</v>
      </c>
      <c r="L178" s="2">
        <v>23.529411764705799</v>
      </c>
      <c r="M178" s="2">
        <v>0.396341463414634</v>
      </c>
      <c r="N178" s="1">
        <v>2.2122698898479701E-6</v>
      </c>
      <c r="O178" s="2">
        <v>5.6551618915980404</v>
      </c>
      <c r="P178" s="2">
        <v>59.366515837103996</v>
      </c>
      <c r="Q178" s="3">
        <v>134.21994760744701</v>
      </c>
      <c r="R178" s="2">
        <v>1.49</v>
      </c>
      <c r="S178" s="2">
        <v>33.5</v>
      </c>
      <c r="T178" s="2">
        <v>2.1800000000000002</v>
      </c>
      <c r="V178" s="4">
        <f t="shared" si="11"/>
        <v>86</v>
      </c>
      <c r="W178">
        <f t="shared" si="8"/>
        <v>4</v>
      </c>
      <c r="X178">
        <f t="shared" si="9"/>
        <v>1</v>
      </c>
      <c r="Y178">
        <v>177</v>
      </c>
      <c r="Z178" s="4">
        <f t="shared" si="10"/>
        <v>174</v>
      </c>
    </row>
    <row r="179" spans="1:26" x14ac:dyDescent="0.2">
      <c r="A179" s="11">
        <v>40</v>
      </c>
      <c r="B179" s="4">
        <v>856</v>
      </c>
      <c r="C179" s="4">
        <v>3</v>
      </c>
      <c r="D179" s="4">
        <v>3</v>
      </c>
      <c r="E179" s="4">
        <v>1</v>
      </c>
      <c r="F179" s="4">
        <v>2</v>
      </c>
      <c r="G179" t="s">
        <v>173</v>
      </c>
      <c r="H179" s="4">
        <v>5</v>
      </c>
      <c r="I179" s="4">
        <v>16</v>
      </c>
      <c r="J179" s="4">
        <v>19</v>
      </c>
      <c r="K179" s="2">
        <v>31.25</v>
      </c>
      <c r="L179" s="2">
        <v>26.315789473684202</v>
      </c>
      <c r="M179" s="2">
        <v>0.33557046979865701</v>
      </c>
      <c r="N179" s="1">
        <v>3.0182012663639001E-8</v>
      </c>
      <c r="O179" s="2">
        <v>7.5202518030108001</v>
      </c>
      <c r="P179" s="2">
        <v>78.421052631578902</v>
      </c>
      <c r="Q179" s="3">
        <v>212.966281114602</v>
      </c>
      <c r="R179" s="2">
        <v>2.69</v>
      </c>
      <c r="S179" s="2">
        <v>33.5</v>
      </c>
      <c r="T179" s="2">
        <v>2.1800000000000002</v>
      </c>
      <c r="V179" s="4">
        <f t="shared" si="11"/>
        <v>86</v>
      </c>
      <c r="W179">
        <f t="shared" si="8"/>
        <v>4</v>
      </c>
      <c r="X179">
        <f t="shared" si="9"/>
        <v>1</v>
      </c>
      <c r="Y179">
        <v>178</v>
      </c>
      <c r="Z179" s="4">
        <f t="shared" si="10"/>
        <v>175</v>
      </c>
    </row>
    <row r="180" spans="1:26" x14ac:dyDescent="0.2">
      <c r="A180" s="11">
        <v>40</v>
      </c>
      <c r="B180" s="4">
        <v>856</v>
      </c>
      <c r="C180" s="4">
        <v>3</v>
      </c>
      <c r="D180" s="4">
        <v>3</v>
      </c>
      <c r="E180" s="4">
        <v>1</v>
      </c>
      <c r="F180" s="4">
        <v>3</v>
      </c>
      <c r="G180" t="s">
        <v>174</v>
      </c>
      <c r="H180" s="4">
        <v>4</v>
      </c>
      <c r="I180" s="4">
        <v>5</v>
      </c>
      <c r="J180" s="4">
        <v>28</v>
      </c>
      <c r="K180" s="2">
        <v>80</v>
      </c>
      <c r="L180" s="2">
        <v>14.285714285714199</v>
      </c>
      <c r="M180" s="2">
        <v>3.0590394616090501E-2</v>
      </c>
      <c r="N180" s="1">
        <v>4.1420029308837201E-8</v>
      </c>
      <c r="O180" s="2">
        <v>7.3827895981354201</v>
      </c>
      <c r="P180" s="2">
        <v>466.99999999999898</v>
      </c>
      <c r="Q180" s="3">
        <v>284.37261404098098</v>
      </c>
      <c r="R180" s="2">
        <v>1.65</v>
      </c>
      <c r="S180" s="2">
        <v>33.5</v>
      </c>
      <c r="T180" s="2">
        <v>2.1800000000000002</v>
      </c>
      <c r="V180" s="4">
        <f t="shared" si="11"/>
        <v>86</v>
      </c>
      <c r="W180">
        <f t="shared" si="8"/>
        <v>4</v>
      </c>
      <c r="X180">
        <f t="shared" si="9"/>
        <v>1</v>
      </c>
      <c r="Y180">
        <v>179</v>
      </c>
      <c r="Z180" s="4">
        <f t="shared" si="10"/>
        <v>176</v>
      </c>
    </row>
    <row r="181" spans="1:26" x14ac:dyDescent="0.2">
      <c r="A181" s="11">
        <v>40</v>
      </c>
      <c r="B181" s="4">
        <v>1111</v>
      </c>
      <c r="C181" s="4">
        <v>3</v>
      </c>
      <c r="D181" s="4">
        <v>2</v>
      </c>
      <c r="E181" s="4">
        <v>1</v>
      </c>
      <c r="F181" s="4">
        <v>1</v>
      </c>
      <c r="G181" t="s">
        <v>175</v>
      </c>
      <c r="H181" s="4">
        <v>6</v>
      </c>
      <c r="I181" s="4">
        <v>8</v>
      </c>
      <c r="J181" s="4">
        <v>245</v>
      </c>
      <c r="K181" s="2">
        <v>75</v>
      </c>
      <c r="L181" s="2">
        <v>2.4489795918367299</v>
      </c>
      <c r="M181" s="2">
        <v>6.5530799475753604E-2</v>
      </c>
      <c r="N181" s="1">
        <v>7.8318743365983496E-6</v>
      </c>
      <c r="O181" s="2">
        <v>5.1061342894581996</v>
      </c>
      <c r="P181" s="2">
        <v>37.371428571428503</v>
      </c>
      <c r="Q181" s="3">
        <v>43.835150176533602</v>
      </c>
      <c r="R181" s="2">
        <v>0.28000000000000003</v>
      </c>
      <c r="S181" s="2">
        <v>23.38</v>
      </c>
      <c r="T181" s="2">
        <v>1.52</v>
      </c>
      <c r="V181" s="4">
        <f t="shared" si="11"/>
        <v>87</v>
      </c>
      <c r="W181">
        <f t="shared" si="8"/>
        <v>4</v>
      </c>
      <c r="X181">
        <f t="shared" si="9"/>
        <v>1</v>
      </c>
      <c r="Y181">
        <v>180</v>
      </c>
      <c r="Z181" s="4">
        <f t="shared" si="10"/>
        <v>177</v>
      </c>
    </row>
    <row r="182" spans="1:26" x14ac:dyDescent="0.2">
      <c r="A182" s="11">
        <v>40</v>
      </c>
      <c r="B182" s="4">
        <v>1111</v>
      </c>
      <c r="C182" s="4">
        <v>3</v>
      </c>
      <c r="D182" s="4">
        <v>2</v>
      </c>
      <c r="E182" s="4">
        <v>2</v>
      </c>
      <c r="F182" s="4">
        <v>2</v>
      </c>
      <c r="G182" t="s">
        <v>176</v>
      </c>
      <c r="H182" s="4">
        <v>4</v>
      </c>
      <c r="I182" s="4">
        <v>40</v>
      </c>
      <c r="J182" s="4">
        <v>8</v>
      </c>
      <c r="K182" s="2">
        <v>10</v>
      </c>
      <c r="L182" s="2">
        <v>50</v>
      </c>
      <c r="M182" s="2">
        <v>1.0945576162967401</v>
      </c>
      <c r="N182" s="1">
        <v>2.51359654444248E-6</v>
      </c>
      <c r="O182" s="2">
        <v>5.5997044293484102</v>
      </c>
      <c r="P182" s="2">
        <v>45.6805555555555</v>
      </c>
      <c r="Q182" s="3">
        <v>121.069386745771</v>
      </c>
      <c r="R182" s="2">
        <v>1.97</v>
      </c>
      <c r="S182" s="2">
        <v>23.38</v>
      </c>
      <c r="T182" s="2">
        <v>1.52</v>
      </c>
      <c r="V182" s="4">
        <f t="shared" si="11"/>
        <v>87</v>
      </c>
      <c r="W182">
        <f t="shared" si="8"/>
        <v>4</v>
      </c>
      <c r="X182">
        <f t="shared" si="9"/>
        <v>1</v>
      </c>
      <c r="Y182">
        <v>181</v>
      </c>
      <c r="Z182" s="4">
        <f t="shared" si="10"/>
        <v>178</v>
      </c>
    </row>
    <row r="183" spans="1:26" x14ac:dyDescent="0.2">
      <c r="A183" s="11">
        <v>40</v>
      </c>
      <c r="B183" s="4">
        <v>1111</v>
      </c>
      <c r="C183" s="4">
        <v>3</v>
      </c>
      <c r="D183" s="4">
        <v>2</v>
      </c>
      <c r="E183" s="4">
        <v>2</v>
      </c>
      <c r="F183" s="4">
        <v>2</v>
      </c>
      <c r="G183" t="s">
        <v>177</v>
      </c>
      <c r="H183" s="4">
        <v>4</v>
      </c>
      <c r="I183" s="4">
        <v>219</v>
      </c>
      <c r="J183" s="4">
        <v>8</v>
      </c>
      <c r="K183" s="2">
        <v>1.8264840182648401</v>
      </c>
      <c r="L183" s="2">
        <v>50</v>
      </c>
      <c r="M183" s="2">
        <v>6.5369413195500101</v>
      </c>
      <c r="N183" s="1">
        <v>2.1446765885306902E-3</v>
      </c>
      <c r="O183" s="2">
        <v>2.6686381889832802</v>
      </c>
      <c r="P183" s="2">
        <v>7.6488372093023198</v>
      </c>
      <c r="Q183" s="3">
        <v>17.8072110705859</v>
      </c>
      <c r="R183" s="2">
        <v>999</v>
      </c>
      <c r="S183" s="2">
        <v>23.38</v>
      </c>
      <c r="T183" s="2">
        <v>1.52</v>
      </c>
      <c r="V183" s="4">
        <f t="shared" si="11"/>
        <v>87</v>
      </c>
      <c r="W183">
        <f t="shared" si="8"/>
        <v>4</v>
      </c>
      <c r="X183">
        <f t="shared" si="9"/>
        <v>1</v>
      </c>
      <c r="Y183">
        <v>182</v>
      </c>
      <c r="Z183" s="4">
        <f t="shared" si="10"/>
        <v>178</v>
      </c>
    </row>
    <row r="184" spans="1:26" x14ac:dyDescent="0.2">
      <c r="A184" s="11">
        <v>40</v>
      </c>
      <c r="B184" s="4">
        <v>1932</v>
      </c>
      <c r="C184" s="4">
        <v>2</v>
      </c>
      <c r="D184" s="4">
        <v>2</v>
      </c>
      <c r="E184" s="4">
        <v>1</v>
      </c>
      <c r="F184" s="4">
        <v>1</v>
      </c>
      <c r="G184" t="s">
        <v>178</v>
      </c>
      <c r="H184" s="4">
        <v>4</v>
      </c>
      <c r="I184" s="4">
        <v>10</v>
      </c>
      <c r="J184" s="4">
        <v>40</v>
      </c>
      <c r="K184" s="2">
        <v>40</v>
      </c>
      <c r="L184" s="2">
        <v>10</v>
      </c>
      <c r="M184" s="2">
        <v>0.184218606079214</v>
      </c>
      <c r="N184" s="1">
        <v>7.40953435986124E-6</v>
      </c>
      <c r="O184" s="2">
        <v>5.1302090836936696</v>
      </c>
      <c r="P184" s="2">
        <v>54.283333333333303</v>
      </c>
      <c r="Q184" s="3">
        <v>95.537283588265396</v>
      </c>
      <c r="R184" s="2">
        <v>0.22</v>
      </c>
      <c r="S184" s="2">
        <v>20.48</v>
      </c>
      <c r="T184" s="2">
        <v>1.33</v>
      </c>
      <c r="V184" s="4">
        <f t="shared" si="11"/>
        <v>88</v>
      </c>
      <c r="W184">
        <f t="shared" si="8"/>
        <v>4</v>
      </c>
      <c r="X184">
        <f t="shared" si="9"/>
        <v>1</v>
      </c>
      <c r="Y184">
        <v>183</v>
      </c>
      <c r="Z184" s="4">
        <f t="shared" si="10"/>
        <v>179</v>
      </c>
    </row>
    <row r="185" spans="1:26" x14ac:dyDescent="0.2">
      <c r="A185" s="11">
        <v>40</v>
      </c>
      <c r="B185" s="4">
        <v>1932</v>
      </c>
      <c r="C185" s="4">
        <v>2</v>
      </c>
      <c r="D185" s="4">
        <v>2</v>
      </c>
      <c r="E185" s="4">
        <v>1</v>
      </c>
      <c r="F185" s="4">
        <v>2</v>
      </c>
      <c r="G185" t="s">
        <v>179</v>
      </c>
      <c r="H185" s="4">
        <v>4</v>
      </c>
      <c r="I185" s="4">
        <v>43</v>
      </c>
      <c r="J185" s="4">
        <v>10</v>
      </c>
      <c r="K185" s="2">
        <v>9.3023255813953494</v>
      </c>
      <c r="L185" s="2">
        <v>40</v>
      </c>
      <c r="M185" s="2">
        <v>1.1864922421660999</v>
      </c>
      <c r="N185" s="1">
        <v>9.9615863889545305E-6</v>
      </c>
      <c r="O185" s="2">
        <v>5.0016714943968203</v>
      </c>
      <c r="P185" s="2">
        <v>33.7128205128205</v>
      </c>
      <c r="Q185" s="3">
        <v>88.475345137257904</v>
      </c>
      <c r="R185" s="2">
        <v>12.01</v>
      </c>
      <c r="S185" s="2">
        <v>20.48</v>
      </c>
      <c r="T185" s="2">
        <v>1.33</v>
      </c>
      <c r="V185" s="4">
        <f t="shared" si="11"/>
        <v>88</v>
      </c>
      <c r="W185">
        <f t="shared" si="8"/>
        <v>4</v>
      </c>
      <c r="X185">
        <f t="shared" si="9"/>
        <v>1</v>
      </c>
      <c r="Y185">
        <v>184</v>
      </c>
      <c r="Z185" s="4">
        <f t="shared" si="10"/>
        <v>180</v>
      </c>
    </row>
    <row r="186" spans="1:26" x14ac:dyDescent="0.2">
      <c r="A186" s="11">
        <v>41</v>
      </c>
      <c r="B186" s="4">
        <v>1014</v>
      </c>
      <c r="C186" s="4">
        <v>2</v>
      </c>
      <c r="D186" s="4">
        <v>2</v>
      </c>
      <c r="E186" s="4">
        <v>1</v>
      </c>
      <c r="F186" s="4">
        <v>1</v>
      </c>
      <c r="G186" t="s">
        <v>180</v>
      </c>
      <c r="H186" s="4">
        <v>29</v>
      </c>
      <c r="I186" s="4">
        <v>310</v>
      </c>
      <c r="J186" s="4">
        <v>104</v>
      </c>
      <c r="K186" s="2">
        <v>9.3548387096774199</v>
      </c>
      <c r="L186" s="2">
        <v>27.884615384615302</v>
      </c>
      <c r="M186" s="2">
        <v>8.8005010961478192</v>
      </c>
      <c r="N186" s="1">
        <v>6.5666841311447894E-8</v>
      </c>
      <c r="O186" s="2">
        <v>7.1826538735251102</v>
      </c>
      <c r="P186" s="2">
        <v>3.16852586914864</v>
      </c>
      <c r="Q186" s="3">
        <v>43.062407465961797</v>
      </c>
      <c r="R186" s="2">
        <v>85.74</v>
      </c>
      <c r="S186" s="2">
        <v>22.13</v>
      </c>
      <c r="T186" s="2">
        <v>1.44</v>
      </c>
      <c r="V186" s="4">
        <f t="shared" si="11"/>
        <v>89</v>
      </c>
      <c r="W186">
        <f t="shared" si="8"/>
        <v>4</v>
      </c>
      <c r="X186">
        <f t="shared" si="9"/>
        <v>1</v>
      </c>
      <c r="Y186">
        <v>185</v>
      </c>
      <c r="Z186" s="4">
        <f t="shared" si="10"/>
        <v>181</v>
      </c>
    </row>
    <row r="187" spans="1:26" x14ac:dyDescent="0.2">
      <c r="A187" s="11">
        <v>41</v>
      </c>
      <c r="B187" s="4">
        <v>1014</v>
      </c>
      <c r="C187" s="4">
        <v>2</v>
      </c>
      <c r="D187" s="4">
        <v>2</v>
      </c>
      <c r="E187" s="4">
        <v>1</v>
      </c>
      <c r="F187" s="4">
        <v>2</v>
      </c>
      <c r="G187" t="s">
        <v>150</v>
      </c>
      <c r="H187" s="4">
        <v>29</v>
      </c>
      <c r="I187" s="4">
        <v>105</v>
      </c>
      <c r="J187" s="4">
        <v>307</v>
      </c>
      <c r="K187" s="2">
        <v>27.619047619047599</v>
      </c>
      <c r="L187" s="2">
        <v>9.4462540716612295</v>
      </c>
      <c r="M187" s="2">
        <v>2.5418060200668799</v>
      </c>
      <c r="N187" s="1">
        <v>6.6545141300432395E-8</v>
      </c>
      <c r="O187" s="2">
        <v>7.1768836484303602</v>
      </c>
      <c r="P187" s="2">
        <v>3.7163552202983001</v>
      </c>
      <c r="Q187" s="3">
        <v>43.046144769667599</v>
      </c>
      <c r="R187" s="2">
        <v>10.6</v>
      </c>
      <c r="S187" s="2">
        <v>22.13</v>
      </c>
      <c r="T187" s="2">
        <v>1.44</v>
      </c>
      <c r="V187" s="4">
        <f t="shared" si="11"/>
        <v>89</v>
      </c>
      <c r="W187">
        <f t="shared" si="8"/>
        <v>4</v>
      </c>
      <c r="X187">
        <f t="shared" si="9"/>
        <v>1</v>
      </c>
      <c r="Y187">
        <v>186</v>
      </c>
      <c r="Z187" s="4">
        <f t="shared" si="10"/>
        <v>182</v>
      </c>
    </row>
    <row r="188" spans="1:26" x14ac:dyDescent="0.2">
      <c r="A188" s="11">
        <v>41</v>
      </c>
      <c r="B188" s="4">
        <v>2874</v>
      </c>
      <c r="C188" s="4">
        <v>2</v>
      </c>
      <c r="D188" s="4">
        <v>2</v>
      </c>
      <c r="E188" s="4">
        <v>1</v>
      </c>
      <c r="F188" s="4">
        <v>1</v>
      </c>
      <c r="G188" t="s">
        <v>181</v>
      </c>
      <c r="H188" s="4">
        <v>8</v>
      </c>
      <c r="I188" s="4">
        <v>204</v>
      </c>
      <c r="J188" s="4">
        <v>17</v>
      </c>
      <c r="K188" s="2">
        <v>3.9215686274509798</v>
      </c>
      <c r="L188" s="2">
        <v>47.058823529411697</v>
      </c>
      <c r="M188" s="2">
        <v>5.9756097560975601</v>
      </c>
      <c r="N188" s="1">
        <v>5.6221154002246398E-6</v>
      </c>
      <c r="O188" s="2">
        <v>5.2501002442557096</v>
      </c>
      <c r="P188" s="2">
        <v>7.8751500600239996</v>
      </c>
      <c r="Q188" s="3">
        <v>42.3537810310971</v>
      </c>
      <c r="R188" s="2">
        <v>999</v>
      </c>
      <c r="S188" s="2">
        <v>20.69</v>
      </c>
      <c r="T188" s="2">
        <v>1.35</v>
      </c>
      <c r="V188" s="4">
        <f t="shared" si="11"/>
        <v>90</v>
      </c>
      <c r="W188">
        <f t="shared" si="8"/>
        <v>4</v>
      </c>
      <c r="X188">
        <f t="shared" si="9"/>
        <v>1</v>
      </c>
      <c r="Y188">
        <v>187</v>
      </c>
      <c r="Z188" s="4">
        <f t="shared" si="10"/>
        <v>183</v>
      </c>
    </row>
    <row r="189" spans="1:26" x14ac:dyDescent="0.2">
      <c r="A189" s="11">
        <v>41</v>
      </c>
      <c r="B189" s="4">
        <v>2874</v>
      </c>
      <c r="C189" s="4">
        <v>2</v>
      </c>
      <c r="D189" s="4">
        <v>2</v>
      </c>
      <c r="E189" s="4">
        <v>1</v>
      </c>
      <c r="F189" s="4">
        <v>2</v>
      </c>
      <c r="G189" t="s">
        <v>182</v>
      </c>
      <c r="H189" s="4">
        <v>8</v>
      </c>
      <c r="I189" s="4">
        <v>17</v>
      </c>
      <c r="J189" s="4">
        <v>201</v>
      </c>
      <c r="K189" s="2">
        <v>47.058823529411697</v>
      </c>
      <c r="L189" s="2">
        <v>3.9800995024875601</v>
      </c>
      <c r="M189" s="2">
        <v>0.290697674418604</v>
      </c>
      <c r="N189" s="1">
        <v>5.0216106495390402E-6</v>
      </c>
      <c r="O189" s="2">
        <v>5.29915696332995</v>
      </c>
      <c r="P189" s="2">
        <v>13.6915422885572</v>
      </c>
      <c r="Q189" s="3">
        <v>43.150561527534698</v>
      </c>
      <c r="R189" s="2">
        <v>2.41</v>
      </c>
      <c r="S189" s="2">
        <v>20.69</v>
      </c>
      <c r="T189" s="2">
        <v>1.35</v>
      </c>
      <c r="V189" s="4">
        <f t="shared" si="11"/>
        <v>90</v>
      </c>
      <c r="W189">
        <f t="shared" si="8"/>
        <v>4</v>
      </c>
      <c r="X189">
        <f t="shared" si="9"/>
        <v>1</v>
      </c>
      <c r="Y189">
        <v>188</v>
      </c>
      <c r="Z189" s="4">
        <f t="shared" si="10"/>
        <v>184</v>
      </c>
    </row>
    <row r="190" spans="1:26" x14ac:dyDescent="0.2">
      <c r="A190" s="11">
        <v>41</v>
      </c>
      <c r="B190" s="4">
        <v>2968</v>
      </c>
      <c r="C190" s="4">
        <v>2</v>
      </c>
      <c r="D190" s="4">
        <v>2</v>
      </c>
      <c r="E190" s="4">
        <v>1</v>
      </c>
      <c r="F190" s="4">
        <v>1</v>
      </c>
      <c r="G190" t="s">
        <v>183</v>
      </c>
      <c r="H190" s="4">
        <v>5</v>
      </c>
      <c r="I190" s="4">
        <v>47</v>
      </c>
      <c r="J190" s="4">
        <v>18</v>
      </c>
      <c r="K190" s="2">
        <v>10.6382978723404</v>
      </c>
      <c r="L190" s="2">
        <v>27.7777777777777</v>
      </c>
      <c r="M190" s="2">
        <v>1.28087831655992</v>
      </c>
      <c r="N190" s="1">
        <v>7.0679495294370098E-6</v>
      </c>
      <c r="O190" s="2">
        <v>5.1507065603488096</v>
      </c>
      <c r="P190" s="2">
        <v>21.686507936507901</v>
      </c>
      <c r="Q190" s="3">
        <v>71.579766623042303</v>
      </c>
      <c r="R190" s="2">
        <v>1.04</v>
      </c>
      <c r="S190" s="2">
        <v>20.78</v>
      </c>
      <c r="T190" s="2">
        <v>1.35</v>
      </c>
      <c r="V190" s="4">
        <f t="shared" si="11"/>
        <v>91</v>
      </c>
      <c r="W190">
        <f t="shared" si="8"/>
        <v>4</v>
      </c>
      <c r="X190">
        <f t="shared" si="9"/>
        <v>1</v>
      </c>
      <c r="Y190">
        <v>189</v>
      </c>
      <c r="Z190" s="4">
        <f t="shared" si="10"/>
        <v>185</v>
      </c>
    </row>
    <row r="191" spans="1:26" x14ac:dyDescent="0.2">
      <c r="A191" s="11">
        <v>41</v>
      </c>
      <c r="B191" s="4">
        <v>2968</v>
      </c>
      <c r="C191" s="4">
        <v>2</v>
      </c>
      <c r="D191" s="4">
        <v>2</v>
      </c>
      <c r="E191" s="4">
        <v>1</v>
      </c>
      <c r="F191" s="4">
        <v>2</v>
      </c>
      <c r="G191" t="s">
        <v>77</v>
      </c>
      <c r="H191" s="4">
        <v>5</v>
      </c>
      <c r="I191" s="4">
        <v>18</v>
      </c>
      <c r="J191" s="4">
        <v>46</v>
      </c>
      <c r="K191" s="2">
        <v>27.7777777777777</v>
      </c>
      <c r="L191" s="2">
        <v>10.869565217391299</v>
      </c>
      <c r="M191" s="2">
        <v>0.399876960935096</v>
      </c>
      <c r="N191" s="1">
        <v>6.3370348755066096E-6</v>
      </c>
      <c r="O191" s="2">
        <v>5.1981139027534997</v>
      </c>
      <c r="P191" s="2">
        <v>27.182274247491598</v>
      </c>
      <c r="Q191" s="3">
        <v>73.301606539648105</v>
      </c>
      <c r="R191" s="2">
        <v>0.43</v>
      </c>
      <c r="S191" s="2">
        <v>20.78</v>
      </c>
      <c r="T191" s="2">
        <v>1.35</v>
      </c>
      <c r="V191" s="4">
        <f t="shared" si="11"/>
        <v>91</v>
      </c>
      <c r="W191">
        <f t="shared" si="8"/>
        <v>4</v>
      </c>
      <c r="X191">
        <f t="shared" si="9"/>
        <v>1</v>
      </c>
      <c r="Y191">
        <v>190</v>
      </c>
      <c r="Z191" s="4">
        <f t="shared" si="10"/>
        <v>186</v>
      </c>
    </row>
    <row r="192" spans="1:26" x14ac:dyDescent="0.2">
      <c r="A192" s="11">
        <v>42</v>
      </c>
      <c r="B192" s="4">
        <v>158</v>
      </c>
      <c r="C192" s="4">
        <v>2</v>
      </c>
      <c r="D192" s="4">
        <v>2</v>
      </c>
      <c r="E192" s="4">
        <v>1</v>
      </c>
      <c r="F192" s="4">
        <v>1</v>
      </c>
      <c r="G192" t="s">
        <v>184</v>
      </c>
      <c r="H192" s="4">
        <v>4</v>
      </c>
      <c r="I192" s="4">
        <v>9</v>
      </c>
      <c r="J192" s="4">
        <v>17</v>
      </c>
      <c r="K192" s="2">
        <v>44.4444444444444</v>
      </c>
      <c r="L192" s="2">
        <v>23.529411764705799</v>
      </c>
      <c r="M192" s="2">
        <v>0.15243902439024301</v>
      </c>
      <c r="N192" s="1">
        <v>1.2012491288947401E-7</v>
      </c>
      <c r="O192" s="2">
        <v>6.9203669142589499</v>
      </c>
      <c r="P192" s="2">
        <v>154.35294117647001</v>
      </c>
      <c r="Q192" s="3">
        <v>259.06119511720499</v>
      </c>
      <c r="R192" s="2">
        <v>0.56000000000000005</v>
      </c>
      <c r="S192" s="2">
        <v>21.14</v>
      </c>
      <c r="T192" s="2">
        <v>1.38</v>
      </c>
      <c r="V192" s="4">
        <f t="shared" si="11"/>
        <v>92</v>
      </c>
      <c r="W192">
        <f t="shared" si="8"/>
        <v>4</v>
      </c>
      <c r="X192">
        <f t="shared" si="9"/>
        <v>1</v>
      </c>
      <c r="Y192">
        <v>191</v>
      </c>
      <c r="Z192" s="4">
        <f t="shared" si="10"/>
        <v>187</v>
      </c>
    </row>
    <row r="193" spans="1:26" x14ac:dyDescent="0.2">
      <c r="A193" s="11">
        <v>42</v>
      </c>
      <c r="B193" s="4">
        <v>158</v>
      </c>
      <c r="C193" s="4">
        <v>2</v>
      </c>
      <c r="D193" s="4">
        <v>2</v>
      </c>
      <c r="E193" s="4">
        <v>1</v>
      </c>
      <c r="F193" s="4">
        <v>2</v>
      </c>
      <c r="G193" t="s">
        <v>185</v>
      </c>
      <c r="H193" s="4">
        <v>4</v>
      </c>
      <c r="I193" s="4">
        <v>17</v>
      </c>
      <c r="J193" s="4">
        <v>9</v>
      </c>
      <c r="K193" s="2">
        <v>23.529411764705799</v>
      </c>
      <c r="L193" s="2">
        <v>44.4444444444444</v>
      </c>
      <c r="M193" s="2">
        <v>0.39537712895377097</v>
      </c>
      <c r="N193" s="1">
        <v>1.2012491288947401E-7</v>
      </c>
      <c r="O193" s="2">
        <v>6.9203669142589597</v>
      </c>
      <c r="P193" s="2">
        <v>112.410256410256</v>
      </c>
      <c r="Q193" s="3">
        <v>259.06119511720499</v>
      </c>
      <c r="R193" s="2">
        <v>0.41</v>
      </c>
      <c r="S193" s="2">
        <v>21.14</v>
      </c>
      <c r="T193" s="2">
        <v>1.38</v>
      </c>
      <c r="V193" s="4">
        <f t="shared" si="11"/>
        <v>92</v>
      </c>
      <c r="W193">
        <f t="shared" si="8"/>
        <v>4</v>
      </c>
      <c r="X193">
        <f t="shared" si="9"/>
        <v>1</v>
      </c>
      <c r="Y193">
        <v>192</v>
      </c>
      <c r="Z193" s="4">
        <f t="shared" si="10"/>
        <v>188</v>
      </c>
    </row>
    <row r="194" spans="1:26" x14ac:dyDescent="0.2">
      <c r="A194" s="11">
        <v>42</v>
      </c>
      <c r="B194" s="4">
        <v>416</v>
      </c>
      <c r="C194" s="4">
        <v>2</v>
      </c>
      <c r="D194" s="4">
        <v>2</v>
      </c>
      <c r="E194" s="4">
        <v>1</v>
      </c>
      <c r="F194" s="4">
        <v>1</v>
      </c>
      <c r="G194" t="s">
        <v>186</v>
      </c>
      <c r="H194" s="4">
        <v>4</v>
      </c>
      <c r="I194" s="4">
        <v>62</v>
      </c>
      <c r="J194" s="4">
        <v>4</v>
      </c>
      <c r="K194" s="2">
        <v>6.4516129032257998</v>
      </c>
      <c r="L194" s="2">
        <v>100</v>
      </c>
      <c r="M194" s="2">
        <v>1.7613118736714199</v>
      </c>
      <c r="N194" s="1">
        <v>2.27022874488705E-7</v>
      </c>
      <c r="O194" s="2">
        <v>6.6439303817331998</v>
      </c>
      <c r="P194" s="2">
        <v>56.775862068965502</v>
      </c>
      <c r="Q194" s="3">
        <v>159.112583838554</v>
      </c>
      <c r="R194" s="2">
        <v>5.65</v>
      </c>
      <c r="S194" s="2">
        <v>20.9</v>
      </c>
      <c r="T194" s="2">
        <v>1.36</v>
      </c>
      <c r="V194" s="4">
        <f t="shared" si="11"/>
        <v>93</v>
      </c>
      <c r="W194">
        <f t="shared" si="8"/>
        <v>4</v>
      </c>
      <c r="X194">
        <f t="shared" si="9"/>
        <v>1</v>
      </c>
      <c r="Y194">
        <v>193</v>
      </c>
      <c r="Z194" s="4">
        <f t="shared" si="10"/>
        <v>189</v>
      </c>
    </row>
    <row r="195" spans="1:26" x14ac:dyDescent="0.2">
      <c r="A195" s="11">
        <v>42</v>
      </c>
      <c r="B195" s="4">
        <v>416</v>
      </c>
      <c r="C195" s="4">
        <v>2</v>
      </c>
      <c r="D195" s="4">
        <v>2</v>
      </c>
      <c r="E195" s="4">
        <v>1</v>
      </c>
      <c r="F195" s="4">
        <v>2</v>
      </c>
      <c r="G195" t="s">
        <v>187</v>
      </c>
      <c r="H195" s="4">
        <v>4</v>
      </c>
      <c r="I195" s="4">
        <v>4</v>
      </c>
      <c r="J195" s="4">
        <v>62</v>
      </c>
      <c r="K195" s="2">
        <v>100</v>
      </c>
      <c r="L195" s="2">
        <v>6.4516129032257998</v>
      </c>
      <c r="M195" s="2">
        <v>0</v>
      </c>
      <c r="N195" s="1">
        <v>2.27022874488705E-7</v>
      </c>
      <c r="O195" s="2">
        <v>6.6439303817331998</v>
      </c>
      <c r="P195" s="2" t="s">
        <v>188</v>
      </c>
      <c r="Q195" s="3">
        <v>159.112583838554</v>
      </c>
      <c r="R195" s="2">
        <v>0.12</v>
      </c>
      <c r="S195" s="2">
        <v>20.9</v>
      </c>
      <c r="T195" s="2">
        <v>1.36</v>
      </c>
      <c r="V195" s="4">
        <f t="shared" si="11"/>
        <v>93</v>
      </c>
      <c r="W195">
        <f t="shared" ref="W195:W258" si="12">IF(AND(B195&lt;&gt;B194,D195&gt;2),W194+1,W194)</f>
        <v>4</v>
      </c>
      <c r="X195">
        <f t="shared" ref="X195:X258" si="13">IF(AND(B195&lt;&gt;B194,D195&gt;3),X194+1,X194)</f>
        <v>1</v>
      </c>
      <c r="Y195">
        <v>194</v>
      </c>
      <c r="Z195" s="4">
        <f t="shared" ref="Z195:Z258" si="14">IF(F195&lt;&gt;F194,Z194+1,Z194)</f>
        <v>190</v>
      </c>
    </row>
    <row r="196" spans="1:26" x14ac:dyDescent="0.2">
      <c r="A196" s="11">
        <v>42</v>
      </c>
      <c r="B196" s="4">
        <v>1268</v>
      </c>
      <c r="C196" s="4">
        <v>2</v>
      </c>
      <c r="D196" s="4">
        <v>2</v>
      </c>
      <c r="E196" s="4">
        <v>1</v>
      </c>
      <c r="F196" s="4">
        <v>1</v>
      </c>
      <c r="G196" t="s">
        <v>189</v>
      </c>
      <c r="H196" s="4">
        <v>4</v>
      </c>
      <c r="I196" s="4">
        <v>12</v>
      </c>
      <c r="J196" s="4">
        <v>17</v>
      </c>
      <c r="K196" s="2">
        <v>33.3333333333333</v>
      </c>
      <c r="L196" s="2">
        <v>23.529411764705799</v>
      </c>
      <c r="M196" s="2">
        <v>0.24390243902438999</v>
      </c>
      <c r="N196" s="1">
        <v>4.6745892513130403E-7</v>
      </c>
      <c r="O196" s="2">
        <v>6.3302565438770602</v>
      </c>
      <c r="P196" s="2">
        <v>96.470588235294102</v>
      </c>
      <c r="Q196" s="3">
        <v>192.73514932821101</v>
      </c>
      <c r="R196" s="2">
        <v>1.68</v>
      </c>
      <c r="S196" s="2">
        <v>26.24</v>
      </c>
      <c r="T196" s="2">
        <v>1.71</v>
      </c>
      <c r="V196" s="4">
        <f t="shared" ref="V196:V259" si="15">IF(F196=1,V195+1,V195)</f>
        <v>94</v>
      </c>
      <c r="W196">
        <f t="shared" si="12"/>
        <v>4</v>
      </c>
      <c r="X196">
        <f t="shared" si="13"/>
        <v>1</v>
      </c>
      <c r="Y196">
        <v>195</v>
      </c>
      <c r="Z196" s="4">
        <f t="shared" si="14"/>
        <v>191</v>
      </c>
    </row>
    <row r="197" spans="1:26" x14ac:dyDescent="0.2">
      <c r="A197" s="11">
        <v>42</v>
      </c>
      <c r="B197" s="4">
        <v>1268</v>
      </c>
      <c r="C197" s="4">
        <v>2</v>
      </c>
      <c r="D197" s="4">
        <v>2</v>
      </c>
      <c r="E197" s="4">
        <v>1</v>
      </c>
      <c r="F197" s="4">
        <v>2</v>
      </c>
      <c r="G197" t="s">
        <v>190</v>
      </c>
      <c r="H197" s="4">
        <v>4</v>
      </c>
      <c r="I197" s="4">
        <v>18</v>
      </c>
      <c r="J197" s="4">
        <v>12</v>
      </c>
      <c r="K197" s="2">
        <v>22.2222222222222</v>
      </c>
      <c r="L197" s="2">
        <v>33.3333333333333</v>
      </c>
      <c r="M197" s="2">
        <v>0.42617960426179602</v>
      </c>
      <c r="N197" s="1">
        <v>5.9984791915781E-7</v>
      </c>
      <c r="O197" s="2">
        <v>6.22195884335384</v>
      </c>
      <c r="P197" s="2">
        <v>78.214285714285694</v>
      </c>
      <c r="Q197" s="3">
        <v>181.69784409098901</v>
      </c>
      <c r="R197" s="2">
        <v>2.94</v>
      </c>
      <c r="S197" s="2">
        <v>26.24</v>
      </c>
      <c r="T197" s="2">
        <v>1.71</v>
      </c>
      <c r="V197" s="4">
        <f t="shared" si="15"/>
        <v>94</v>
      </c>
      <c r="W197">
        <f t="shared" si="12"/>
        <v>4</v>
      </c>
      <c r="X197">
        <f t="shared" si="13"/>
        <v>1</v>
      </c>
      <c r="Y197">
        <v>196</v>
      </c>
      <c r="Z197" s="4">
        <f t="shared" si="14"/>
        <v>192</v>
      </c>
    </row>
    <row r="198" spans="1:26" x14ac:dyDescent="0.2">
      <c r="A198" s="11">
        <v>42</v>
      </c>
      <c r="B198" s="4">
        <v>2081</v>
      </c>
      <c r="C198" s="4">
        <v>2</v>
      </c>
      <c r="D198" s="4">
        <v>2</v>
      </c>
      <c r="E198" s="4">
        <v>1</v>
      </c>
      <c r="F198" s="4">
        <v>1</v>
      </c>
      <c r="G198" t="s">
        <v>191</v>
      </c>
      <c r="H198" s="4">
        <v>4</v>
      </c>
      <c r="I198" s="4">
        <v>8</v>
      </c>
      <c r="J198" s="4">
        <v>55</v>
      </c>
      <c r="K198" s="2">
        <v>50</v>
      </c>
      <c r="L198" s="2">
        <v>7.2727272727272698</v>
      </c>
      <c r="M198" s="2">
        <v>0.123380629241209</v>
      </c>
      <c r="N198" s="1">
        <v>9.2433516328627007E-6</v>
      </c>
      <c r="O198" s="2">
        <v>5.0341705253462603</v>
      </c>
      <c r="P198" s="2">
        <v>58.945454545454503</v>
      </c>
      <c r="Q198" s="3">
        <v>86.5757410737355</v>
      </c>
      <c r="R198" s="2">
        <v>1</v>
      </c>
      <c r="S198" s="2">
        <v>19.88</v>
      </c>
      <c r="T198" s="2">
        <v>1.3</v>
      </c>
      <c r="V198" s="4">
        <f t="shared" si="15"/>
        <v>95</v>
      </c>
      <c r="W198">
        <f t="shared" si="12"/>
        <v>4</v>
      </c>
      <c r="X198">
        <f t="shared" si="13"/>
        <v>1</v>
      </c>
      <c r="Y198">
        <v>197</v>
      </c>
      <c r="Z198" s="4">
        <f t="shared" si="14"/>
        <v>193</v>
      </c>
    </row>
    <row r="199" spans="1:26" x14ac:dyDescent="0.2">
      <c r="A199" s="11">
        <v>42</v>
      </c>
      <c r="B199" s="4">
        <v>2081</v>
      </c>
      <c r="C199" s="4">
        <v>2</v>
      </c>
      <c r="D199" s="4">
        <v>2</v>
      </c>
      <c r="E199" s="4">
        <v>1</v>
      </c>
      <c r="F199" s="4">
        <v>2</v>
      </c>
      <c r="G199" t="s">
        <v>129</v>
      </c>
      <c r="H199" s="4">
        <v>4</v>
      </c>
      <c r="I199" s="4">
        <v>56</v>
      </c>
      <c r="J199" s="4">
        <v>8</v>
      </c>
      <c r="K199" s="2">
        <v>7.1428571428571397</v>
      </c>
      <c r="L199" s="2">
        <v>50</v>
      </c>
      <c r="M199" s="2">
        <v>1.5810276679841799</v>
      </c>
      <c r="N199" s="1">
        <v>9.9445997015337901E-6</v>
      </c>
      <c r="O199" s="2">
        <v>5.0024126937777398</v>
      </c>
      <c r="P199" s="2">
        <v>31.625</v>
      </c>
      <c r="Q199" s="3">
        <v>84.933416794712798</v>
      </c>
      <c r="R199" s="2">
        <v>2.5299999999999998</v>
      </c>
      <c r="S199" s="2">
        <v>19.88</v>
      </c>
      <c r="T199" s="2">
        <v>1.3</v>
      </c>
      <c r="V199" s="4">
        <f t="shared" si="15"/>
        <v>95</v>
      </c>
      <c r="W199">
        <f t="shared" si="12"/>
        <v>4</v>
      </c>
      <c r="X199">
        <f t="shared" si="13"/>
        <v>1</v>
      </c>
      <c r="Y199">
        <v>198</v>
      </c>
      <c r="Z199" s="4">
        <f t="shared" si="14"/>
        <v>194</v>
      </c>
    </row>
    <row r="200" spans="1:26" x14ac:dyDescent="0.2">
      <c r="A200" s="11">
        <v>43</v>
      </c>
      <c r="B200" s="4">
        <v>726</v>
      </c>
      <c r="C200" s="4">
        <v>3</v>
      </c>
      <c r="D200" s="4">
        <v>2</v>
      </c>
      <c r="E200" s="4">
        <v>1</v>
      </c>
      <c r="F200" s="4">
        <v>1</v>
      </c>
      <c r="G200" t="s">
        <v>192</v>
      </c>
      <c r="H200" s="4">
        <v>16</v>
      </c>
      <c r="I200" s="4">
        <v>106</v>
      </c>
      <c r="J200" s="4">
        <v>124</v>
      </c>
      <c r="K200" s="2">
        <v>15.094339622641501</v>
      </c>
      <c r="L200" s="2">
        <v>12.9032258064516</v>
      </c>
      <c r="M200" s="2">
        <v>2.8364323983611701</v>
      </c>
      <c r="N200" s="1">
        <v>2.5721132668283999E-6</v>
      </c>
      <c r="O200" s="2">
        <v>5.5897099105240802</v>
      </c>
      <c r="P200" s="2">
        <v>4.5491039426523301</v>
      </c>
      <c r="Q200" s="3">
        <v>35.697309694479301</v>
      </c>
      <c r="R200" s="2">
        <v>25.01</v>
      </c>
      <c r="S200" s="2">
        <v>22.95</v>
      </c>
      <c r="T200" s="2">
        <v>1.5</v>
      </c>
      <c r="V200" s="4">
        <f t="shared" si="15"/>
        <v>96</v>
      </c>
      <c r="W200">
        <f t="shared" si="12"/>
        <v>4</v>
      </c>
      <c r="X200">
        <f t="shared" si="13"/>
        <v>1</v>
      </c>
      <c r="Y200">
        <v>199</v>
      </c>
      <c r="Z200" s="4">
        <f t="shared" si="14"/>
        <v>195</v>
      </c>
    </row>
    <row r="201" spans="1:26" x14ac:dyDescent="0.2">
      <c r="A201" s="11">
        <v>43</v>
      </c>
      <c r="B201" s="4">
        <v>726</v>
      </c>
      <c r="C201" s="4">
        <v>3</v>
      </c>
      <c r="D201" s="4">
        <v>2</v>
      </c>
      <c r="E201" s="4">
        <v>2</v>
      </c>
      <c r="F201" s="4">
        <v>2</v>
      </c>
      <c r="G201" t="s">
        <v>193</v>
      </c>
      <c r="H201" s="4">
        <v>9</v>
      </c>
      <c r="I201" s="4">
        <v>99</v>
      </c>
      <c r="J201" s="4">
        <v>105</v>
      </c>
      <c r="K201" s="2">
        <v>9.0909090909090899</v>
      </c>
      <c r="L201" s="2">
        <v>8.5714285714285694</v>
      </c>
      <c r="M201" s="2">
        <v>2.8195488721804498</v>
      </c>
      <c r="N201" s="1">
        <v>7.5822875180791803E-3</v>
      </c>
      <c r="O201" s="2">
        <v>2.12019975128023</v>
      </c>
      <c r="P201" s="2">
        <v>3.04</v>
      </c>
      <c r="Q201" s="3">
        <v>9.6567969957050508</v>
      </c>
      <c r="R201" s="2">
        <v>9.7100000000000009</v>
      </c>
      <c r="S201" s="2">
        <v>22.95</v>
      </c>
      <c r="T201" s="2">
        <v>1.5</v>
      </c>
      <c r="V201" s="4">
        <f t="shared" si="15"/>
        <v>96</v>
      </c>
      <c r="W201">
        <f t="shared" si="12"/>
        <v>4</v>
      </c>
      <c r="X201">
        <f t="shared" si="13"/>
        <v>1</v>
      </c>
      <c r="Y201">
        <v>200</v>
      </c>
      <c r="Z201" s="4">
        <f t="shared" si="14"/>
        <v>196</v>
      </c>
    </row>
    <row r="202" spans="1:26" x14ac:dyDescent="0.2">
      <c r="A202" s="11">
        <v>43</v>
      </c>
      <c r="B202" s="4">
        <v>726</v>
      </c>
      <c r="C202" s="4">
        <v>3</v>
      </c>
      <c r="D202" s="4">
        <v>2</v>
      </c>
      <c r="E202" s="4">
        <v>2</v>
      </c>
      <c r="F202" s="4">
        <v>2</v>
      </c>
      <c r="G202" t="s">
        <v>171</v>
      </c>
      <c r="H202" s="4">
        <v>8</v>
      </c>
      <c r="I202" s="4">
        <v>31</v>
      </c>
      <c r="J202" s="4">
        <v>105</v>
      </c>
      <c r="K202" s="2">
        <v>25.806451612903199</v>
      </c>
      <c r="L202" s="2">
        <v>7.6190476190476097</v>
      </c>
      <c r="M202" s="2">
        <v>0.72055137844611505</v>
      </c>
      <c r="N202" s="1">
        <v>6.9581422194183998E-6</v>
      </c>
      <c r="O202" s="2">
        <v>5.15750669883111</v>
      </c>
      <c r="P202" s="2">
        <v>10.5739130434782</v>
      </c>
      <c r="Q202" s="3">
        <v>44.797534642694103</v>
      </c>
      <c r="R202" s="2">
        <v>40.85</v>
      </c>
      <c r="S202" s="2">
        <v>22.95</v>
      </c>
      <c r="T202" s="2">
        <v>1.5</v>
      </c>
      <c r="V202" s="4">
        <f t="shared" si="15"/>
        <v>96</v>
      </c>
      <c r="W202">
        <f t="shared" si="12"/>
        <v>4</v>
      </c>
      <c r="X202">
        <f t="shared" si="13"/>
        <v>1</v>
      </c>
      <c r="Y202">
        <v>201</v>
      </c>
      <c r="Z202" s="4">
        <f t="shared" si="14"/>
        <v>196</v>
      </c>
    </row>
    <row r="203" spans="1:26" x14ac:dyDescent="0.2">
      <c r="A203" s="11">
        <v>43</v>
      </c>
      <c r="B203" s="4">
        <v>979</v>
      </c>
      <c r="C203" s="4">
        <v>2</v>
      </c>
      <c r="D203" s="4">
        <v>2</v>
      </c>
      <c r="E203" s="4">
        <v>1</v>
      </c>
      <c r="F203" s="4">
        <v>1</v>
      </c>
      <c r="G203" t="s">
        <v>194</v>
      </c>
      <c r="H203" s="4">
        <v>5</v>
      </c>
      <c r="I203" s="4">
        <v>10</v>
      </c>
      <c r="J203" s="4">
        <v>85</v>
      </c>
      <c r="K203" s="2">
        <v>50</v>
      </c>
      <c r="L203" s="2">
        <v>5.8823529411764701</v>
      </c>
      <c r="M203" s="2">
        <v>0.155666251556662</v>
      </c>
      <c r="N203" s="1">
        <v>4.6113991862742598E-6</v>
      </c>
      <c r="O203" s="2">
        <v>5.3361672814040304</v>
      </c>
      <c r="P203" s="2">
        <v>37.788235294117598</v>
      </c>
      <c r="Q203" s="3">
        <v>71.8692114967957</v>
      </c>
      <c r="R203" s="2">
        <v>3.06</v>
      </c>
      <c r="S203" s="2">
        <v>24.04</v>
      </c>
      <c r="T203" s="2">
        <v>1.57</v>
      </c>
      <c r="V203" s="4">
        <f t="shared" si="15"/>
        <v>97</v>
      </c>
      <c r="W203">
        <f t="shared" si="12"/>
        <v>4</v>
      </c>
      <c r="X203">
        <f t="shared" si="13"/>
        <v>1</v>
      </c>
      <c r="Y203">
        <v>202</v>
      </c>
      <c r="Z203" s="4">
        <f t="shared" si="14"/>
        <v>197</v>
      </c>
    </row>
    <row r="204" spans="1:26" x14ac:dyDescent="0.2">
      <c r="A204" s="11">
        <v>43</v>
      </c>
      <c r="B204" s="4">
        <v>979</v>
      </c>
      <c r="C204" s="4">
        <v>2</v>
      </c>
      <c r="D204" s="4">
        <v>2</v>
      </c>
      <c r="E204" s="4">
        <v>1</v>
      </c>
      <c r="F204" s="4">
        <v>2</v>
      </c>
      <c r="G204" t="s">
        <v>195</v>
      </c>
      <c r="H204" s="4">
        <v>5</v>
      </c>
      <c r="I204" s="4">
        <v>89</v>
      </c>
      <c r="J204" s="4">
        <v>10</v>
      </c>
      <c r="K204" s="2">
        <v>5.61797752808988</v>
      </c>
      <c r="L204" s="2">
        <v>50</v>
      </c>
      <c r="M204" s="2">
        <v>2.55552175235777</v>
      </c>
      <c r="N204" s="1">
        <v>5.8053167389642001E-6</v>
      </c>
      <c r="O204" s="2">
        <v>5.2361740801059904</v>
      </c>
      <c r="P204" s="2">
        <v>19.565476190476101</v>
      </c>
      <c r="Q204" s="3">
        <v>68.3321898972886</v>
      </c>
      <c r="R204" s="2">
        <v>3.22</v>
      </c>
      <c r="S204" s="2">
        <v>24.04</v>
      </c>
      <c r="T204" s="2">
        <v>1.57</v>
      </c>
      <c r="V204" s="4">
        <f t="shared" si="15"/>
        <v>97</v>
      </c>
      <c r="W204">
        <f t="shared" si="12"/>
        <v>4</v>
      </c>
      <c r="X204">
        <f t="shared" si="13"/>
        <v>1</v>
      </c>
      <c r="Y204">
        <v>203</v>
      </c>
      <c r="Z204" s="4">
        <f t="shared" si="14"/>
        <v>198</v>
      </c>
    </row>
    <row r="205" spans="1:26" x14ac:dyDescent="0.2">
      <c r="A205" s="11">
        <v>43</v>
      </c>
      <c r="B205" s="4">
        <v>1015</v>
      </c>
      <c r="C205" s="4">
        <v>2</v>
      </c>
      <c r="D205" s="4">
        <v>2</v>
      </c>
      <c r="E205" s="4">
        <v>1</v>
      </c>
      <c r="F205" s="4">
        <v>1</v>
      </c>
      <c r="G205" t="s">
        <v>196</v>
      </c>
      <c r="H205" s="4">
        <v>4</v>
      </c>
      <c r="I205" s="4">
        <v>13</v>
      </c>
      <c r="J205" s="4">
        <v>28</v>
      </c>
      <c r="K205" s="2">
        <v>30.769230769230699</v>
      </c>
      <c r="L205" s="2">
        <v>14.285714285714199</v>
      </c>
      <c r="M205" s="2">
        <v>0.27531355154481402</v>
      </c>
      <c r="N205" s="1">
        <v>5.6523504963002396E-6</v>
      </c>
      <c r="O205" s="2">
        <v>5.2477709158451402</v>
      </c>
      <c r="P205" s="2">
        <v>51.8888888888888</v>
      </c>
      <c r="Q205" s="3">
        <v>105.37398885129799</v>
      </c>
      <c r="R205" s="2">
        <v>0.8</v>
      </c>
      <c r="S205" s="2">
        <v>22.05</v>
      </c>
      <c r="T205" s="2">
        <v>1.44</v>
      </c>
      <c r="V205" s="4">
        <f t="shared" si="15"/>
        <v>98</v>
      </c>
      <c r="W205">
        <f t="shared" si="12"/>
        <v>4</v>
      </c>
      <c r="X205">
        <f t="shared" si="13"/>
        <v>1</v>
      </c>
      <c r="Y205">
        <v>204</v>
      </c>
      <c r="Z205" s="4">
        <f t="shared" si="14"/>
        <v>199</v>
      </c>
    </row>
    <row r="206" spans="1:26" x14ac:dyDescent="0.2">
      <c r="A206" s="11">
        <v>43</v>
      </c>
      <c r="B206" s="4">
        <v>1015</v>
      </c>
      <c r="C206" s="4">
        <v>2</v>
      </c>
      <c r="D206" s="4">
        <v>2</v>
      </c>
      <c r="E206" s="4">
        <v>1</v>
      </c>
      <c r="F206" s="4">
        <v>2</v>
      </c>
      <c r="G206" t="s">
        <v>197</v>
      </c>
      <c r="H206" s="4">
        <v>4</v>
      </c>
      <c r="I206" s="4">
        <v>29</v>
      </c>
      <c r="J206" s="4">
        <v>13</v>
      </c>
      <c r="K206" s="2">
        <v>13.793103448275801</v>
      </c>
      <c r="L206" s="2">
        <v>30.769230769230699</v>
      </c>
      <c r="M206" s="2">
        <v>0.76126674786845305</v>
      </c>
      <c r="N206" s="1">
        <v>6.5423350704454601E-6</v>
      </c>
      <c r="O206" s="2">
        <v>5.1842672169339004</v>
      </c>
      <c r="P206" s="2">
        <v>40.4184615384615</v>
      </c>
      <c r="Q206" s="3">
        <v>101.53489976595</v>
      </c>
      <c r="R206" s="2">
        <v>1.68</v>
      </c>
      <c r="S206" s="2">
        <v>22.05</v>
      </c>
      <c r="T206" s="2">
        <v>1.44</v>
      </c>
      <c r="V206" s="4">
        <f t="shared" si="15"/>
        <v>98</v>
      </c>
      <c r="W206">
        <f t="shared" si="12"/>
        <v>4</v>
      </c>
      <c r="X206">
        <f t="shared" si="13"/>
        <v>1</v>
      </c>
      <c r="Y206">
        <v>205</v>
      </c>
      <c r="Z206" s="4">
        <f t="shared" si="14"/>
        <v>200</v>
      </c>
    </row>
    <row r="207" spans="1:26" x14ac:dyDescent="0.2">
      <c r="A207" s="11">
        <v>43</v>
      </c>
      <c r="B207" s="4">
        <v>1857</v>
      </c>
      <c r="C207" s="4">
        <v>2</v>
      </c>
      <c r="D207" s="4">
        <v>2</v>
      </c>
      <c r="E207" s="4">
        <v>1</v>
      </c>
      <c r="F207" s="4">
        <v>1</v>
      </c>
      <c r="G207" t="s">
        <v>198</v>
      </c>
      <c r="H207" s="4">
        <v>5</v>
      </c>
      <c r="I207" s="4">
        <v>145</v>
      </c>
      <c r="J207" s="4">
        <v>7</v>
      </c>
      <c r="K207" s="2">
        <v>3.44827586206896</v>
      </c>
      <c r="L207" s="2">
        <v>71.428571428571402</v>
      </c>
      <c r="M207" s="2">
        <v>4.2553191489361701</v>
      </c>
      <c r="N207" s="1">
        <v>6.0147558259759299E-6</v>
      </c>
      <c r="O207" s="2">
        <v>5.22078199851261</v>
      </c>
      <c r="P207" s="2">
        <v>16.785714285714199</v>
      </c>
      <c r="Q207" s="3">
        <v>59.838562825405603</v>
      </c>
      <c r="R207" s="2">
        <v>37.03</v>
      </c>
      <c r="S207" s="2">
        <v>21.79</v>
      </c>
      <c r="T207" s="2">
        <v>1.42</v>
      </c>
      <c r="V207" s="4">
        <f t="shared" si="15"/>
        <v>99</v>
      </c>
      <c r="W207">
        <f t="shared" si="12"/>
        <v>4</v>
      </c>
      <c r="X207">
        <f t="shared" si="13"/>
        <v>1</v>
      </c>
      <c r="Y207">
        <v>206</v>
      </c>
      <c r="Z207" s="4">
        <f t="shared" si="14"/>
        <v>201</v>
      </c>
    </row>
    <row r="208" spans="1:26" x14ac:dyDescent="0.2">
      <c r="A208" s="11">
        <v>43</v>
      </c>
      <c r="B208" s="4">
        <v>1857</v>
      </c>
      <c r="C208" s="4">
        <v>2</v>
      </c>
      <c r="D208" s="4">
        <v>2</v>
      </c>
      <c r="E208" s="4">
        <v>1</v>
      </c>
      <c r="F208" s="4">
        <v>2</v>
      </c>
      <c r="G208" t="s">
        <v>199</v>
      </c>
      <c r="H208" s="4">
        <v>5</v>
      </c>
      <c r="I208" s="4">
        <v>7</v>
      </c>
      <c r="J208" s="4">
        <v>143</v>
      </c>
      <c r="K208" s="2">
        <v>71.428571428571402</v>
      </c>
      <c r="L208" s="2">
        <v>3.49650349650349</v>
      </c>
      <c r="M208" s="2">
        <v>6.3411540900443805E-2</v>
      </c>
      <c r="N208" s="1">
        <v>5.6115869453936503E-6</v>
      </c>
      <c r="O208" s="2">
        <v>5.2509143037766401</v>
      </c>
      <c r="P208" s="2">
        <v>55.139860139860097</v>
      </c>
      <c r="Q208" s="3">
        <v>60.759892961064203</v>
      </c>
      <c r="R208" s="2">
        <v>2.81</v>
      </c>
      <c r="S208" s="2">
        <v>21.79</v>
      </c>
      <c r="T208" s="2">
        <v>1.42</v>
      </c>
      <c r="V208" s="4">
        <f t="shared" si="15"/>
        <v>99</v>
      </c>
      <c r="W208">
        <f t="shared" si="12"/>
        <v>4</v>
      </c>
      <c r="X208">
        <f t="shared" si="13"/>
        <v>1</v>
      </c>
      <c r="Y208">
        <v>207</v>
      </c>
      <c r="Z208" s="4">
        <f t="shared" si="14"/>
        <v>202</v>
      </c>
    </row>
    <row r="209" spans="1:26" x14ac:dyDescent="0.2">
      <c r="A209" s="11">
        <v>43</v>
      </c>
      <c r="B209" s="4">
        <v>2363</v>
      </c>
      <c r="C209" s="4">
        <v>3</v>
      </c>
      <c r="D209" s="4">
        <v>2</v>
      </c>
      <c r="E209" s="4">
        <v>1</v>
      </c>
      <c r="F209" s="4">
        <v>1</v>
      </c>
      <c r="G209" t="s">
        <v>200</v>
      </c>
      <c r="H209" s="4">
        <v>3</v>
      </c>
      <c r="I209" s="4">
        <v>3</v>
      </c>
      <c r="J209" s="4">
        <v>48</v>
      </c>
      <c r="K209" s="2">
        <v>100</v>
      </c>
      <c r="L209" s="2">
        <v>6.25</v>
      </c>
      <c r="M209" s="2">
        <v>0</v>
      </c>
      <c r="N209" s="1">
        <v>5.7964935048239196E-6</v>
      </c>
      <c r="O209" s="2">
        <v>5.2368346464414</v>
      </c>
      <c r="P209" s="2" t="s">
        <v>201</v>
      </c>
      <c r="Q209" s="3">
        <v>140.31119451126401</v>
      </c>
      <c r="R209" s="2">
        <v>0.31</v>
      </c>
      <c r="S209" s="2">
        <v>24.06</v>
      </c>
      <c r="T209" s="2">
        <v>1.57</v>
      </c>
      <c r="V209" s="4">
        <f t="shared" si="15"/>
        <v>100</v>
      </c>
      <c r="W209">
        <f t="shared" si="12"/>
        <v>4</v>
      </c>
      <c r="X209">
        <f t="shared" si="13"/>
        <v>1</v>
      </c>
      <c r="Y209">
        <v>208</v>
      </c>
      <c r="Z209" s="4">
        <f t="shared" si="14"/>
        <v>203</v>
      </c>
    </row>
    <row r="210" spans="1:26" x14ac:dyDescent="0.2">
      <c r="A210" s="11">
        <v>43</v>
      </c>
      <c r="B210" s="4">
        <v>2363</v>
      </c>
      <c r="C210" s="4">
        <v>3</v>
      </c>
      <c r="D210" s="4">
        <v>2</v>
      </c>
      <c r="E210" s="4">
        <v>2</v>
      </c>
      <c r="F210" s="4">
        <v>2</v>
      </c>
      <c r="G210" t="s">
        <v>202</v>
      </c>
      <c r="H210" s="4">
        <v>2</v>
      </c>
      <c r="I210" s="4">
        <v>3</v>
      </c>
      <c r="J210" s="4">
        <v>3</v>
      </c>
      <c r="K210" s="2">
        <v>66.6666666666666</v>
      </c>
      <c r="L210" s="2">
        <v>66.6666666666666</v>
      </c>
      <c r="M210" s="2">
        <v>3.0358227079538499E-2</v>
      </c>
      <c r="N210" s="1">
        <v>3.3121383735068698E-6</v>
      </c>
      <c r="O210" s="2">
        <v>5.4798915276857203</v>
      </c>
      <c r="P210" s="2">
        <v>2195.99999999999</v>
      </c>
      <c r="Q210" s="3">
        <v>822.74931756198498</v>
      </c>
      <c r="R210" s="2">
        <v>1.61</v>
      </c>
      <c r="S210" s="2">
        <v>24.06</v>
      </c>
      <c r="T210" s="2">
        <v>1.57</v>
      </c>
      <c r="V210" s="4">
        <f t="shared" si="15"/>
        <v>100</v>
      </c>
      <c r="W210">
        <f t="shared" si="12"/>
        <v>4</v>
      </c>
      <c r="X210">
        <f t="shared" si="13"/>
        <v>1</v>
      </c>
      <c r="Y210">
        <v>209</v>
      </c>
      <c r="Z210" s="4">
        <f t="shared" si="14"/>
        <v>204</v>
      </c>
    </row>
    <row r="211" spans="1:26" x14ac:dyDescent="0.2">
      <c r="A211" s="11">
        <v>43</v>
      </c>
      <c r="B211" s="4">
        <v>2363</v>
      </c>
      <c r="C211" s="4">
        <v>3</v>
      </c>
      <c r="D211" s="4">
        <v>2</v>
      </c>
      <c r="E211" s="4">
        <v>2</v>
      </c>
      <c r="F211" s="4">
        <v>2</v>
      </c>
      <c r="G211" t="s">
        <v>203</v>
      </c>
      <c r="H211" s="4">
        <v>2</v>
      </c>
      <c r="I211" s="4">
        <v>48</v>
      </c>
      <c r="J211" s="4">
        <v>3</v>
      </c>
      <c r="K211" s="2">
        <v>4.1666666666666599</v>
      </c>
      <c r="L211" s="2">
        <v>66.6666666666666</v>
      </c>
      <c r="M211" s="2">
        <v>1.39647844565877</v>
      </c>
      <c r="N211" s="1">
        <v>1.2340230628856599E-3</v>
      </c>
      <c r="O211" s="2">
        <v>2.90867672361688</v>
      </c>
      <c r="P211" s="2">
        <v>47.739130434782602</v>
      </c>
      <c r="Q211" s="3">
        <v>49.321583934716301</v>
      </c>
      <c r="R211" s="2">
        <v>3.47</v>
      </c>
      <c r="S211" s="2">
        <v>24.06</v>
      </c>
      <c r="T211" s="2">
        <v>1.57</v>
      </c>
      <c r="V211" s="4">
        <f t="shared" si="15"/>
        <v>100</v>
      </c>
      <c r="W211">
        <f t="shared" si="12"/>
        <v>4</v>
      </c>
      <c r="X211">
        <f t="shared" si="13"/>
        <v>1</v>
      </c>
      <c r="Y211">
        <v>210</v>
      </c>
      <c r="Z211" s="4">
        <f t="shared" si="14"/>
        <v>204</v>
      </c>
    </row>
    <row r="212" spans="1:26" x14ac:dyDescent="0.2">
      <c r="A212" s="11">
        <v>44</v>
      </c>
      <c r="B212" s="4">
        <v>282</v>
      </c>
      <c r="C212" s="4">
        <v>2</v>
      </c>
      <c r="D212" s="4">
        <v>2</v>
      </c>
      <c r="E212" s="4">
        <v>1</v>
      </c>
      <c r="F212" s="4">
        <v>1</v>
      </c>
      <c r="G212" t="s">
        <v>204</v>
      </c>
      <c r="H212" s="4">
        <v>4</v>
      </c>
      <c r="I212" s="4">
        <v>121</v>
      </c>
      <c r="J212" s="4">
        <v>4</v>
      </c>
      <c r="K212" s="2">
        <v>3.30578512396694</v>
      </c>
      <c r="L212" s="2">
        <v>100</v>
      </c>
      <c r="M212" s="2">
        <v>3.5529911934406302</v>
      </c>
      <c r="N212" s="1">
        <v>3.45732667346681E-6</v>
      </c>
      <c r="O212" s="2">
        <v>5.4612595832052797</v>
      </c>
      <c r="P212" s="2">
        <v>28.145299145299099</v>
      </c>
      <c r="Q212" s="3">
        <v>79.608261325094205</v>
      </c>
      <c r="R212" s="2">
        <v>5.99</v>
      </c>
      <c r="S212" s="2">
        <v>22.91</v>
      </c>
      <c r="T212" s="2">
        <v>1.49</v>
      </c>
      <c r="V212" s="4">
        <f t="shared" si="15"/>
        <v>101</v>
      </c>
      <c r="W212">
        <f t="shared" si="12"/>
        <v>4</v>
      </c>
      <c r="X212">
        <f t="shared" si="13"/>
        <v>1</v>
      </c>
      <c r="Y212">
        <v>211</v>
      </c>
      <c r="Z212" s="4">
        <f t="shared" si="14"/>
        <v>205</v>
      </c>
    </row>
    <row r="213" spans="1:26" x14ac:dyDescent="0.2">
      <c r="A213" s="11">
        <v>44</v>
      </c>
      <c r="B213" s="4">
        <v>282</v>
      </c>
      <c r="C213" s="4">
        <v>2</v>
      </c>
      <c r="D213" s="4">
        <v>2</v>
      </c>
      <c r="E213" s="4">
        <v>1</v>
      </c>
      <c r="F213" s="4">
        <v>2</v>
      </c>
      <c r="G213" t="s">
        <v>205</v>
      </c>
      <c r="H213" s="4">
        <v>4</v>
      </c>
      <c r="I213" s="4">
        <v>4</v>
      </c>
      <c r="J213" s="4">
        <v>117</v>
      </c>
      <c r="K213" s="2">
        <v>100</v>
      </c>
      <c r="L213" s="2">
        <v>3.4188034188034102</v>
      </c>
      <c r="M213" s="2">
        <v>0</v>
      </c>
      <c r="N213" s="1">
        <v>3.0171115985825598E-6</v>
      </c>
      <c r="O213" s="2">
        <v>5.5204086256048397</v>
      </c>
      <c r="P213" s="2" t="s">
        <v>206</v>
      </c>
      <c r="Q213" s="3">
        <v>82.464526970556307</v>
      </c>
      <c r="R213" s="2">
        <v>0.93</v>
      </c>
      <c r="S213" s="2">
        <v>22.91</v>
      </c>
      <c r="T213" s="2">
        <v>1.49</v>
      </c>
      <c r="V213" s="4">
        <f t="shared" si="15"/>
        <v>101</v>
      </c>
      <c r="W213">
        <f t="shared" si="12"/>
        <v>4</v>
      </c>
      <c r="X213">
        <f t="shared" si="13"/>
        <v>1</v>
      </c>
      <c r="Y213">
        <v>212</v>
      </c>
      <c r="Z213" s="4">
        <f t="shared" si="14"/>
        <v>206</v>
      </c>
    </row>
    <row r="214" spans="1:26" x14ac:dyDescent="0.2">
      <c r="A214" s="11">
        <v>44</v>
      </c>
      <c r="B214" s="4">
        <v>470</v>
      </c>
      <c r="C214" s="4">
        <v>2</v>
      </c>
      <c r="D214" s="4">
        <v>2</v>
      </c>
      <c r="E214" s="4">
        <v>1</v>
      </c>
      <c r="F214" s="4">
        <v>1</v>
      </c>
      <c r="G214" t="s">
        <v>207</v>
      </c>
      <c r="H214" s="4">
        <v>4</v>
      </c>
      <c r="I214" s="4">
        <v>9</v>
      </c>
      <c r="J214" s="4">
        <v>14</v>
      </c>
      <c r="K214" s="2">
        <v>44.4444444444444</v>
      </c>
      <c r="L214" s="2">
        <v>28.571428571428498</v>
      </c>
      <c r="M214" s="2">
        <v>0.15229972586049301</v>
      </c>
      <c r="N214" s="1">
        <v>5.0708096723579401E-8</v>
      </c>
      <c r="O214" s="2">
        <v>7.29492268994432</v>
      </c>
      <c r="P214" s="2">
        <v>187.6</v>
      </c>
      <c r="Q214" s="3">
        <v>315.77911026527897</v>
      </c>
      <c r="R214" s="2">
        <v>1.1399999999999999</v>
      </c>
      <c r="S214" s="2">
        <v>20.53</v>
      </c>
      <c r="T214" s="2">
        <v>1.34</v>
      </c>
      <c r="V214" s="4">
        <f t="shared" si="15"/>
        <v>102</v>
      </c>
      <c r="W214">
        <f t="shared" si="12"/>
        <v>4</v>
      </c>
      <c r="X214">
        <f t="shared" si="13"/>
        <v>1</v>
      </c>
      <c r="Y214">
        <v>213</v>
      </c>
      <c r="Z214" s="4">
        <f t="shared" si="14"/>
        <v>207</v>
      </c>
    </row>
    <row r="215" spans="1:26" x14ac:dyDescent="0.2">
      <c r="A215" s="11">
        <v>44</v>
      </c>
      <c r="B215" s="4">
        <v>470</v>
      </c>
      <c r="C215" s="4">
        <v>2</v>
      </c>
      <c r="D215" s="4">
        <v>2</v>
      </c>
      <c r="E215" s="4">
        <v>1</v>
      </c>
      <c r="F215" s="4">
        <v>2</v>
      </c>
      <c r="G215" t="s">
        <v>208</v>
      </c>
      <c r="H215" s="4">
        <v>4</v>
      </c>
      <c r="I215" s="4">
        <v>15</v>
      </c>
      <c r="J215" s="4">
        <v>9</v>
      </c>
      <c r="K215" s="2">
        <v>26.6666666666666</v>
      </c>
      <c r="L215" s="2">
        <v>44.4444444444444</v>
      </c>
      <c r="M215" s="2">
        <v>0.33454987834549799</v>
      </c>
      <c r="N215" s="1">
        <v>6.9063241229228002E-8</v>
      </c>
      <c r="O215" s="2">
        <v>7.1607530434940001</v>
      </c>
      <c r="P215" s="2">
        <v>132.84848484848399</v>
      </c>
      <c r="Q215" s="3">
        <v>294.35220410285501</v>
      </c>
      <c r="R215" s="2">
        <v>0.36</v>
      </c>
      <c r="S215" s="2">
        <v>20.53</v>
      </c>
      <c r="T215" s="2">
        <v>1.34</v>
      </c>
      <c r="V215" s="4">
        <f t="shared" si="15"/>
        <v>102</v>
      </c>
      <c r="W215">
        <f t="shared" si="12"/>
        <v>4</v>
      </c>
      <c r="X215">
        <f t="shared" si="13"/>
        <v>1</v>
      </c>
      <c r="Y215">
        <v>214</v>
      </c>
      <c r="Z215" s="4">
        <f t="shared" si="14"/>
        <v>208</v>
      </c>
    </row>
    <row r="216" spans="1:26" x14ac:dyDescent="0.2">
      <c r="A216" s="11">
        <v>44</v>
      </c>
      <c r="B216" s="4">
        <v>795</v>
      </c>
      <c r="C216" s="4">
        <v>2</v>
      </c>
      <c r="D216" s="4">
        <v>2</v>
      </c>
      <c r="E216" s="4">
        <v>1</v>
      </c>
      <c r="F216" s="4">
        <v>1</v>
      </c>
      <c r="G216" t="s">
        <v>209</v>
      </c>
      <c r="H216" s="4">
        <v>4</v>
      </c>
      <c r="I216" s="4">
        <v>6</v>
      </c>
      <c r="J216" s="4">
        <v>40</v>
      </c>
      <c r="K216" s="2">
        <v>66.6666666666666</v>
      </c>
      <c r="L216" s="2">
        <v>10</v>
      </c>
      <c r="M216" s="2">
        <v>6.1406202026404601E-2</v>
      </c>
      <c r="N216" s="1">
        <v>5.4817157288887098E-7</v>
      </c>
      <c r="O216" s="2">
        <v>6.2610834898793497</v>
      </c>
      <c r="P216" s="2">
        <v>162.85</v>
      </c>
      <c r="Q216" s="3">
        <v>163.63662648435599</v>
      </c>
      <c r="R216" s="2">
        <v>0.6</v>
      </c>
      <c r="S216" s="2">
        <v>24.62</v>
      </c>
      <c r="T216" s="2">
        <v>1.6</v>
      </c>
      <c r="V216" s="4">
        <f t="shared" si="15"/>
        <v>103</v>
      </c>
      <c r="W216">
        <f t="shared" si="12"/>
        <v>4</v>
      </c>
      <c r="X216">
        <f t="shared" si="13"/>
        <v>1</v>
      </c>
      <c r="Y216">
        <v>215</v>
      </c>
      <c r="Z216" s="4">
        <f t="shared" si="14"/>
        <v>209</v>
      </c>
    </row>
    <row r="217" spans="1:26" x14ac:dyDescent="0.2">
      <c r="A217" s="11">
        <v>44</v>
      </c>
      <c r="B217" s="4">
        <v>795</v>
      </c>
      <c r="C217" s="4">
        <v>2</v>
      </c>
      <c r="D217" s="4">
        <v>2</v>
      </c>
      <c r="E217" s="4">
        <v>1</v>
      </c>
      <c r="F217" s="4">
        <v>2</v>
      </c>
      <c r="G217" t="s">
        <v>210</v>
      </c>
      <c r="H217" s="4">
        <v>4</v>
      </c>
      <c r="I217" s="4">
        <v>40</v>
      </c>
      <c r="J217" s="4">
        <v>6</v>
      </c>
      <c r="K217" s="2">
        <v>10</v>
      </c>
      <c r="L217" s="2">
        <v>66.6666666666666</v>
      </c>
      <c r="M217" s="2">
        <v>1.0938924339106599</v>
      </c>
      <c r="N217" s="1">
        <v>5.4817157288886801E-7</v>
      </c>
      <c r="O217" s="2">
        <v>6.2610834898793497</v>
      </c>
      <c r="P217" s="2">
        <v>60.9444444444444</v>
      </c>
      <c r="Q217" s="3">
        <v>163.63662648435599</v>
      </c>
      <c r="R217" s="2">
        <v>1.04</v>
      </c>
      <c r="S217" s="2">
        <v>24.62</v>
      </c>
      <c r="T217" s="2">
        <v>1.6</v>
      </c>
      <c r="V217" s="4">
        <f t="shared" si="15"/>
        <v>103</v>
      </c>
      <c r="W217">
        <f t="shared" si="12"/>
        <v>4</v>
      </c>
      <c r="X217">
        <f t="shared" si="13"/>
        <v>1</v>
      </c>
      <c r="Y217">
        <v>216</v>
      </c>
      <c r="Z217" s="4">
        <f t="shared" si="14"/>
        <v>210</v>
      </c>
    </row>
    <row r="218" spans="1:26" x14ac:dyDescent="0.2">
      <c r="A218" s="11">
        <v>44</v>
      </c>
      <c r="B218" s="4">
        <v>1624</v>
      </c>
      <c r="C218" s="4">
        <v>2</v>
      </c>
      <c r="D218" s="4">
        <v>2</v>
      </c>
      <c r="E218" s="4">
        <v>1</v>
      </c>
      <c r="F218" s="4">
        <v>1</v>
      </c>
      <c r="G218" t="s">
        <v>211</v>
      </c>
      <c r="H218" s="4">
        <v>5</v>
      </c>
      <c r="I218" s="4">
        <v>51</v>
      </c>
      <c r="J218" s="4">
        <v>17</v>
      </c>
      <c r="K218" s="2">
        <v>9.8039215686274499</v>
      </c>
      <c r="L218" s="2">
        <v>29.411764705882302</v>
      </c>
      <c r="M218" s="2">
        <v>1.40243902439024</v>
      </c>
      <c r="N218" s="1">
        <v>7.8048531316204194E-6</v>
      </c>
      <c r="O218" s="2">
        <v>5.1076352648920098</v>
      </c>
      <c r="P218" s="2">
        <v>20.9718670076726</v>
      </c>
      <c r="Q218" s="3">
        <v>69.7010329847691</v>
      </c>
      <c r="R218" s="2">
        <v>8.2799999999999994</v>
      </c>
      <c r="S218" s="2">
        <v>22.92</v>
      </c>
      <c r="T218" s="2">
        <v>1.49</v>
      </c>
      <c r="V218" s="4">
        <f t="shared" si="15"/>
        <v>104</v>
      </c>
      <c r="W218">
        <f t="shared" si="12"/>
        <v>4</v>
      </c>
      <c r="X218">
        <f t="shared" si="13"/>
        <v>1</v>
      </c>
      <c r="Y218">
        <v>217</v>
      </c>
      <c r="Z218" s="4">
        <f t="shared" si="14"/>
        <v>211</v>
      </c>
    </row>
    <row r="219" spans="1:26" x14ac:dyDescent="0.2">
      <c r="A219" s="11">
        <v>44</v>
      </c>
      <c r="B219" s="4">
        <v>1624</v>
      </c>
      <c r="C219" s="4">
        <v>2</v>
      </c>
      <c r="D219" s="4">
        <v>2</v>
      </c>
      <c r="E219" s="4">
        <v>1</v>
      </c>
      <c r="F219" s="4">
        <v>2</v>
      </c>
      <c r="G219" t="s">
        <v>212</v>
      </c>
      <c r="H219" s="4">
        <v>5</v>
      </c>
      <c r="I219" s="4">
        <v>17</v>
      </c>
      <c r="J219" s="4">
        <v>51</v>
      </c>
      <c r="K219" s="2">
        <v>29.411764705882302</v>
      </c>
      <c r="L219" s="2">
        <v>9.8039215686274499</v>
      </c>
      <c r="M219" s="2">
        <v>0.36968576709796602</v>
      </c>
      <c r="N219" s="1">
        <v>7.8048531316204194E-6</v>
      </c>
      <c r="O219" s="2">
        <v>5.1076352648920098</v>
      </c>
      <c r="P219" s="2">
        <v>26.519607843137202</v>
      </c>
      <c r="Q219" s="3">
        <v>69.7010329847691</v>
      </c>
      <c r="R219" s="2">
        <v>0.47</v>
      </c>
      <c r="S219" s="2">
        <v>22.92</v>
      </c>
      <c r="T219" s="2">
        <v>1.49</v>
      </c>
      <c r="V219" s="4">
        <f t="shared" si="15"/>
        <v>104</v>
      </c>
      <c r="W219">
        <f t="shared" si="12"/>
        <v>4</v>
      </c>
      <c r="X219">
        <f t="shared" si="13"/>
        <v>1</v>
      </c>
      <c r="Y219">
        <v>218</v>
      </c>
      <c r="Z219" s="4">
        <f t="shared" si="14"/>
        <v>212</v>
      </c>
    </row>
    <row r="220" spans="1:26" x14ac:dyDescent="0.2">
      <c r="A220" s="11">
        <v>45</v>
      </c>
      <c r="B220" s="4">
        <v>657</v>
      </c>
      <c r="C220" s="4">
        <v>2</v>
      </c>
      <c r="D220" s="4">
        <v>2</v>
      </c>
      <c r="E220" s="4">
        <v>1</v>
      </c>
      <c r="F220" s="4">
        <v>1</v>
      </c>
      <c r="G220" t="s">
        <v>99</v>
      </c>
      <c r="H220" s="4">
        <v>7</v>
      </c>
      <c r="I220" s="4">
        <v>12</v>
      </c>
      <c r="J220" s="4">
        <v>220</v>
      </c>
      <c r="K220" s="2">
        <v>58.3333333333333</v>
      </c>
      <c r="L220" s="2">
        <v>3.1818181818181799</v>
      </c>
      <c r="M220" s="2">
        <v>0.162495937601559</v>
      </c>
      <c r="N220" s="1">
        <v>6.3727646922312997E-6</v>
      </c>
      <c r="O220" s="2">
        <v>5.1956721171002602</v>
      </c>
      <c r="P220" s="2">
        <v>19.580909090909</v>
      </c>
      <c r="Q220" s="3">
        <v>43.624335337736497</v>
      </c>
      <c r="R220" s="2">
        <v>2.85</v>
      </c>
      <c r="S220" s="2">
        <v>21.41</v>
      </c>
      <c r="T220" s="2">
        <v>1.4</v>
      </c>
      <c r="V220" s="4">
        <f t="shared" si="15"/>
        <v>105</v>
      </c>
      <c r="W220">
        <f t="shared" si="12"/>
        <v>4</v>
      </c>
      <c r="X220">
        <f t="shared" si="13"/>
        <v>1</v>
      </c>
      <c r="Y220">
        <v>219</v>
      </c>
      <c r="Z220" s="4">
        <f t="shared" si="14"/>
        <v>213</v>
      </c>
    </row>
    <row r="221" spans="1:26" x14ac:dyDescent="0.2">
      <c r="A221" s="11">
        <v>45</v>
      </c>
      <c r="B221" s="4">
        <v>657</v>
      </c>
      <c r="C221" s="4">
        <v>2</v>
      </c>
      <c r="D221" s="4">
        <v>2</v>
      </c>
      <c r="E221" s="4">
        <v>1</v>
      </c>
      <c r="F221" s="4">
        <v>2</v>
      </c>
      <c r="G221" t="s">
        <v>213</v>
      </c>
      <c r="H221" s="4">
        <v>7</v>
      </c>
      <c r="I221" s="4">
        <v>222</v>
      </c>
      <c r="J221" s="4">
        <v>12</v>
      </c>
      <c r="K221" s="2">
        <v>3.1531531531531498</v>
      </c>
      <c r="L221" s="2">
        <v>58.3333333333333</v>
      </c>
      <c r="M221" s="2">
        <v>6.5449010654490101</v>
      </c>
      <c r="N221" s="1">
        <v>6.7764232320075899E-6</v>
      </c>
      <c r="O221" s="2">
        <v>5.1689994772957997</v>
      </c>
      <c r="P221" s="2">
        <v>8.91279069767441</v>
      </c>
      <c r="Q221" s="3">
        <v>43.1490063348513</v>
      </c>
      <c r="R221" s="2">
        <v>6.55</v>
      </c>
      <c r="S221" s="2">
        <v>21.41</v>
      </c>
      <c r="T221" s="2">
        <v>1.4</v>
      </c>
      <c r="V221" s="4">
        <f t="shared" si="15"/>
        <v>105</v>
      </c>
      <c r="W221">
        <f t="shared" si="12"/>
        <v>4</v>
      </c>
      <c r="X221">
        <f t="shared" si="13"/>
        <v>1</v>
      </c>
      <c r="Y221">
        <v>220</v>
      </c>
      <c r="Z221" s="4">
        <f t="shared" si="14"/>
        <v>214</v>
      </c>
    </row>
    <row r="222" spans="1:26" x14ac:dyDescent="0.2">
      <c r="A222" s="11">
        <v>46</v>
      </c>
      <c r="B222" s="4">
        <v>146</v>
      </c>
      <c r="C222" s="4">
        <v>2</v>
      </c>
      <c r="D222" s="4">
        <v>2</v>
      </c>
      <c r="E222" s="4">
        <v>1</v>
      </c>
      <c r="F222" s="4">
        <v>1</v>
      </c>
      <c r="G222" t="s">
        <v>214</v>
      </c>
      <c r="H222" s="4">
        <v>6</v>
      </c>
      <c r="I222" s="4">
        <v>38</v>
      </c>
      <c r="J222" s="4">
        <v>38</v>
      </c>
      <c r="K222" s="2">
        <v>15.789473684210501</v>
      </c>
      <c r="L222" s="2">
        <v>15.789473684210501</v>
      </c>
      <c r="M222" s="2">
        <v>0.98189628720466404</v>
      </c>
      <c r="N222" s="1">
        <v>6.5643103820580503E-6</v>
      </c>
      <c r="O222" s="2">
        <v>5.1828108922703402</v>
      </c>
      <c r="P222" s="2">
        <v>16.080592105263101</v>
      </c>
      <c r="Q222" s="3">
        <v>59.8783307298986</v>
      </c>
      <c r="R222" s="2">
        <v>1.56</v>
      </c>
      <c r="S222" s="2">
        <v>24.12</v>
      </c>
      <c r="T222" s="2">
        <v>1.57</v>
      </c>
      <c r="V222" s="4">
        <f t="shared" si="15"/>
        <v>106</v>
      </c>
      <c r="W222">
        <f t="shared" si="12"/>
        <v>4</v>
      </c>
      <c r="X222">
        <f t="shared" si="13"/>
        <v>1</v>
      </c>
      <c r="Y222">
        <v>221</v>
      </c>
      <c r="Z222" s="4">
        <f t="shared" si="14"/>
        <v>215</v>
      </c>
    </row>
    <row r="223" spans="1:26" x14ac:dyDescent="0.2">
      <c r="A223" s="11">
        <v>46</v>
      </c>
      <c r="B223" s="4">
        <v>146</v>
      </c>
      <c r="C223" s="4">
        <v>2</v>
      </c>
      <c r="D223" s="4">
        <v>2</v>
      </c>
      <c r="E223" s="4">
        <v>1</v>
      </c>
      <c r="F223" s="4">
        <v>2</v>
      </c>
      <c r="G223" t="s">
        <v>215</v>
      </c>
      <c r="H223" s="4">
        <v>6</v>
      </c>
      <c r="I223" s="4">
        <v>41</v>
      </c>
      <c r="J223" s="4">
        <v>37</v>
      </c>
      <c r="K223" s="2">
        <v>14.634146341463399</v>
      </c>
      <c r="L223" s="2">
        <v>16.2162162162162</v>
      </c>
      <c r="M223" s="2">
        <v>1.0736196319018401</v>
      </c>
      <c r="N223" s="1">
        <v>8.8604074386753902E-6</v>
      </c>
      <c r="O223" s="2">
        <v>5.0525463069729897</v>
      </c>
      <c r="P223" s="2">
        <v>15.104247104247101</v>
      </c>
      <c r="Q223" s="3">
        <v>56.534098840153398</v>
      </c>
      <c r="R223" s="2">
        <v>2.19</v>
      </c>
      <c r="S223" s="2">
        <v>24.12</v>
      </c>
      <c r="T223" s="2">
        <v>1.57</v>
      </c>
      <c r="V223" s="4">
        <f t="shared" si="15"/>
        <v>106</v>
      </c>
      <c r="W223">
        <f t="shared" si="12"/>
        <v>4</v>
      </c>
      <c r="X223">
        <f t="shared" si="13"/>
        <v>1</v>
      </c>
      <c r="Y223">
        <v>222</v>
      </c>
      <c r="Z223" s="4">
        <f t="shared" si="14"/>
        <v>216</v>
      </c>
    </row>
    <row r="224" spans="1:26" x14ac:dyDescent="0.2">
      <c r="A224" s="11">
        <v>46</v>
      </c>
      <c r="B224" s="4">
        <v>1549</v>
      </c>
      <c r="C224" s="4">
        <v>2</v>
      </c>
      <c r="D224" s="4">
        <v>2</v>
      </c>
      <c r="E224" s="4">
        <v>1</v>
      </c>
      <c r="F224" s="4">
        <v>1</v>
      </c>
      <c r="G224" t="s">
        <v>216</v>
      </c>
      <c r="H224" s="4">
        <v>4</v>
      </c>
      <c r="I224" s="4">
        <v>64</v>
      </c>
      <c r="J224" s="4">
        <v>7</v>
      </c>
      <c r="K224" s="2">
        <v>6.25</v>
      </c>
      <c r="L224" s="2">
        <v>57.142857142857103</v>
      </c>
      <c r="M224" s="2">
        <v>1.8237082066869299</v>
      </c>
      <c r="N224" s="1">
        <v>8.6602587839766595E-6</v>
      </c>
      <c r="O224" s="2">
        <v>5.0624691302951401</v>
      </c>
      <c r="P224" s="2">
        <v>31.3333333333333</v>
      </c>
      <c r="Q224" s="3">
        <v>85.117703489221</v>
      </c>
      <c r="R224" s="2">
        <v>24.27</v>
      </c>
      <c r="S224" s="2">
        <v>22.83</v>
      </c>
      <c r="T224" s="2">
        <v>1.49</v>
      </c>
      <c r="V224" s="4">
        <f t="shared" si="15"/>
        <v>107</v>
      </c>
      <c r="W224">
        <f t="shared" si="12"/>
        <v>4</v>
      </c>
      <c r="X224">
        <f t="shared" si="13"/>
        <v>1</v>
      </c>
      <c r="Y224">
        <v>223</v>
      </c>
      <c r="Z224" s="4">
        <f t="shared" si="14"/>
        <v>217</v>
      </c>
    </row>
    <row r="225" spans="1:26" x14ac:dyDescent="0.2">
      <c r="A225" s="11">
        <v>46</v>
      </c>
      <c r="B225" s="4">
        <v>1549</v>
      </c>
      <c r="C225" s="4">
        <v>2</v>
      </c>
      <c r="D225" s="4">
        <v>2</v>
      </c>
      <c r="E225" s="4">
        <v>1</v>
      </c>
      <c r="F225" s="4">
        <v>2</v>
      </c>
      <c r="G225" t="s">
        <v>217</v>
      </c>
      <c r="H225" s="4">
        <v>4</v>
      </c>
      <c r="I225" s="4">
        <v>7</v>
      </c>
      <c r="J225" s="4">
        <v>63</v>
      </c>
      <c r="K225" s="2">
        <v>57.142857142857103</v>
      </c>
      <c r="L225" s="2">
        <v>6.34920634920634</v>
      </c>
      <c r="M225" s="2">
        <v>9.27643784786642E-2</v>
      </c>
      <c r="N225" s="1">
        <v>8.1249929582442693E-6</v>
      </c>
      <c r="O225" s="2">
        <v>5.09017700674256</v>
      </c>
      <c r="P225" s="2">
        <v>68.4444444444444</v>
      </c>
      <c r="Q225" s="3">
        <v>86.551184719535698</v>
      </c>
      <c r="R225" s="2">
        <v>1.19</v>
      </c>
      <c r="S225" s="2">
        <v>22.83</v>
      </c>
      <c r="T225" s="2">
        <v>1.49</v>
      </c>
      <c r="V225" s="4">
        <f t="shared" si="15"/>
        <v>107</v>
      </c>
      <c r="W225">
        <f t="shared" si="12"/>
        <v>4</v>
      </c>
      <c r="X225">
        <f t="shared" si="13"/>
        <v>1</v>
      </c>
      <c r="Y225">
        <v>224</v>
      </c>
      <c r="Z225" s="4">
        <f t="shared" si="14"/>
        <v>218</v>
      </c>
    </row>
    <row r="226" spans="1:26" x14ac:dyDescent="0.2">
      <c r="A226" s="11">
        <v>47</v>
      </c>
      <c r="B226" s="4">
        <v>370</v>
      </c>
      <c r="C226" s="4">
        <v>2</v>
      </c>
      <c r="D226" s="4">
        <v>2</v>
      </c>
      <c r="E226" s="4">
        <v>1</v>
      </c>
      <c r="F226" s="4">
        <v>1</v>
      </c>
      <c r="G226" t="s">
        <v>218</v>
      </c>
      <c r="H226" s="4">
        <v>4</v>
      </c>
      <c r="I226" s="4">
        <v>22</v>
      </c>
      <c r="J226" s="4">
        <v>18</v>
      </c>
      <c r="K226" s="2">
        <v>18.181818181818102</v>
      </c>
      <c r="L226" s="2">
        <v>22.2222222222222</v>
      </c>
      <c r="M226" s="2">
        <v>0.54894784995425405</v>
      </c>
      <c r="N226" s="1">
        <v>8.5670983709299705E-6</v>
      </c>
      <c r="O226" s="2">
        <v>5.0671662463235201</v>
      </c>
      <c r="P226" s="2">
        <v>40.481481481481403</v>
      </c>
      <c r="Q226" s="3">
        <v>96.2751657589492</v>
      </c>
      <c r="R226" s="2">
        <v>1.29</v>
      </c>
      <c r="S226" s="2">
        <v>24.28</v>
      </c>
      <c r="T226" s="2">
        <v>1.58</v>
      </c>
      <c r="V226" s="4">
        <f t="shared" si="15"/>
        <v>108</v>
      </c>
      <c r="W226">
        <f t="shared" si="12"/>
        <v>4</v>
      </c>
      <c r="X226">
        <f t="shared" si="13"/>
        <v>1</v>
      </c>
      <c r="Y226">
        <v>225</v>
      </c>
      <c r="Z226" s="4">
        <f t="shared" si="14"/>
        <v>219</v>
      </c>
    </row>
    <row r="227" spans="1:26" x14ac:dyDescent="0.2">
      <c r="A227" s="11">
        <v>47</v>
      </c>
      <c r="B227" s="4">
        <v>370</v>
      </c>
      <c r="C227" s="4">
        <v>2</v>
      </c>
      <c r="D227" s="4">
        <v>2</v>
      </c>
      <c r="E227" s="4">
        <v>1</v>
      </c>
      <c r="F227" s="4">
        <v>2</v>
      </c>
      <c r="G227" t="s">
        <v>219</v>
      </c>
      <c r="H227" s="4">
        <v>4</v>
      </c>
      <c r="I227" s="4">
        <v>18</v>
      </c>
      <c r="J227" s="4">
        <v>22</v>
      </c>
      <c r="K227" s="2">
        <v>22.2222222222222</v>
      </c>
      <c r="L227" s="2">
        <v>18.181818181818102</v>
      </c>
      <c r="M227" s="2">
        <v>0.42748091603053401</v>
      </c>
      <c r="N227" s="1">
        <v>8.5670983709299705E-6</v>
      </c>
      <c r="O227" s="2">
        <v>5.0671662463235201</v>
      </c>
      <c r="P227" s="2">
        <v>42.5324675324675</v>
      </c>
      <c r="Q227" s="3">
        <v>96.2751657589492</v>
      </c>
      <c r="R227" s="2">
        <v>0.9</v>
      </c>
      <c r="S227" s="2">
        <v>24.28</v>
      </c>
      <c r="T227" s="2">
        <v>1.58</v>
      </c>
      <c r="V227" s="4">
        <f t="shared" si="15"/>
        <v>108</v>
      </c>
      <c r="W227">
        <f t="shared" si="12"/>
        <v>4</v>
      </c>
      <c r="X227">
        <f t="shared" si="13"/>
        <v>1</v>
      </c>
      <c r="Y227">
        <v>226</v>
      </c>
      <c r="Z227" s="4">
        <f t="shared" si="14"/>
        <v>220</v>
      </c>
    </row>
    <row r="228" spans="1:26" x14ac:dyDescent="0.2">
      <c r="A228" s="11">
        <v>48</v>
      </c>
      <c r="B228" s="4">
        <v>359</v>
      </c>
      <c r="C228" s="4">
        <v>2</v>
      </c>
      <c r="D228" s="4">
        <v>2</v>
      </c>
      <c r="E228" s="4">
        <v>1</v>
      </c>
      <c r="F228" s="4">
        <v>1</v>
      </c>
      <c r="G228" t="s">
        <v>220</v>
      </c>
      <c r="H228" s="4">
        <v>5</v>
      </c>
      <c r="I228" s="4">
        <v>46</v>
      </c>
      <c r="J228" s="4">
        <v>17</v>
      </c>
      <c r="K228" s="2">
        <v>10.869565217391299</v>
      </c>
      <c r="L228" s="2">
        <v>29.411764705882302</v>
      </c>
      <c r="M228" s="2">
        <v>1.25</v>
      </c>
      <c r="N228" s="1">
        <v>4.6247201977740003E-6</v>
      </c>
      <c r="O228" s="2">
        <v>5.33491453757114</v>
      </c>
      <c r="P228" s="2">
        <v>23.529411764705799</v>
      </c>
      <c r="Q228" s="3">
        <v>78.100206212161496</v>
      </c>
      <c r="R228" s="2">
        <v>0.33</v>
      </c>
      <c r="S228" s="2">
        <v>20.22</v>
      </c>
      <c r="T228" s="2">
        <v>1.32</v>
      </c>
      <c r="V228" s="4">
        <f t="shared" si="15"/>
        <v>109</v>
      </c>
      <c r="W228">
        <f t="shared" si="12"/>
        <v>4</v>
      </c>
      <c r="X228">
        <f t="shared" si="13"/>
        <v>1</v>
      </c>
      <c r="Y228">
        <v>227</v>
      </c>
      <c r="Z228" s="4">
        <f t="shared" si="14"/>
        <v>221</v>
      </c>
    </row>
    <row r="229" spans="1:26" x14ac:dyDescent="0.2">
      <c r="A229" s="11">
        <v>48</v>
      </c>
      <c r="B229" s="4">
        <v>359</v>
      </c>
      <c r="C229" s="4">
        <v>2</v>
      </c>
      <c r="D229" s="4">
        <v>2</v>
      </c>
      <c r="E229" s="4">
        <v>1</v>
      </c>
      <c r="F229" s="4">
        <v>2</v>
      </c>
      <c r="G229" t="s">
        <v>221</v>
      </c>
      <c r="H229" s="4">
        <v>5</v>
      </c>
      <c r="I229" s="4">
        <v>17</v>
      </c>
      <c r="J229" s="4">
        <v>46</v>
      </c>
      <c r="K229" s="2">
        <v>29.411764705882302</v>
      </c>
      <c r="L229" s="2">
        <v>10.869565217391299</v>
      </c>
      <c r="M229" s="2">
        <v>0.36911719470931997</v>
      </c>
      <c r="N229" s="1">
        <v>4.6247201977740003E-6</v>
      </c>
      <c r="O229" s="2">
        <v>5.33491453757114</v>
      </c>
      <c r="P229" s="2">
        <v>29.447463768115899</v>
      </c>
      <c r="Q229" s="3">
        <v>78.100206212161496</v>
      </c>
      <c r="R229" s="2">
        <v>1.83</v>
      </c>
      <c r="S229" s="2">
        <v>20.22</v>
      </c>
      <c r="T229" s="2">
        <v>1.32</v>
      </c>
      <c r="V229" s="4">
        <f t="shared" si="15"/>
        <v>109</v>
      </c>
      <c r="W229">
        <f t="shared" si="12"/>
        <v>4</v>
      </c>
      <c r="X229">
        <f t="shared" si="13"/>
        <v>1</v>
      </c>
      <c r="Y229">
        <v>228</v>
      </c>
      <c r="Z229" s="4">
        <f t="shared" si="14"/>
        <v>222</v>
      </c>
    </row>
    <row r="230" spans="1:26" x14ac:dyDescent="0.2">
      <c r="A230" s="11">
        <v>48</v>
      </c>
      <c r="B230" s="4">
        <v>518</v>
      </c>
      <c r="C230" s="4">
        <v>2</v>
      </c>
      <c r="D230" s="4">
        <v>2</v>
      </c>
      <c r="E230" s="4">
        <v>1</v>
      </c>
      <c r="F230" s="4">
        <v>1</v>
      </c>
      <c r="G230" t="s">
        <v>8</v>
      </c>
      <c r="H230" s="4">
        <v>8</v>
      </c>
      <c r="I230" s="4">
        <v>223</v>
      </c>
      <c r="J230" s="4">
        <v>16</v>
      </c>
      <c r="K230" s="2">
        <v>3.5874439461883401</v>
      </c>
      <c r="L230" s="2">
        <v>50</v>
      </c>
      <c r="M230" s="2">
        <v>6.5528802194452904</v>
      </c>
      <c r="N230" s="1">
        <v>6.2092385070706398E-6</v>
      </c>
      <c r="O230" s="2">
        <v>5.2069616578677698</v>
      </c>
      <c r="P230" s="2">
        <v>7.6302325581395296</v>
      </c>
      <c r="Q230" s="3">
        <v>41.0199200961884</v>
      </c>
      <c r="R230" s="2">
        <v>36.049999999999997</v>
      </c>
      <c r="S230" s="2">
        <v>21.89</v>
      </c>
      <c r="T230" s="2">
        <v>1.43</v>
      </c>
      <c r="V230" s="4">
        <f t="shared" si="15"/>
        <v>110</v>
      </c>
      <c r="W230">
        <f t="shared" si="12"/>
        <v>4</v>
      </c>
      <c r="X230">
        <f t="shared" si="13"/>
        <v>1</v>
      </c>
      <c r="Y230">
        <v>229</v>
      </c>
      <c r="Z230" s="4">
        <f t="shared" si="14"/>
        <v>223</v>
      </c>
    </row>
    <row r="231" spans="1:26" x14ac:dyDescent="0.2">
      <c r="A231" s="11">
        <v>48</v>
      </c>
      <c r="B231" s="4">
        <v>518</v>
      </c>
      <c r="C231" s="4">
        <v>2</v>
      </c>
      <c r="D231" s="4">
        <v>2</v>
      </c>
      <c r="E231" s="4">
        <v>1</v>
      </c>
      <c r="F231" s="4">
        <v>2</v>
      </c>
      <c r="G231" t="s">
        <v>222</v>
      </c>
      <c r="H231" s="4">
        <v>8</v>
      </c>
      <c r="I231" s="4">
        <v>16</v>
      </c>
      <c r="J231" s="4">
        <v>217</v>
      </c>
      <c r="K231" s="2">
        <v>50</v>
      </c>
      <c r="L231" s="2">
        <v>3.68663594470046</v>
      </c>
      <c r="M231" s="2">
        <v>0.25974025974025899</v>
      </c>
      <c r="N231" s="1">
        <v>5.0429178257443804E-6</v>
      </c>
      <c r="O231" s="2">
        <v>5.29731810860401</v>
      </c>
      <c r="P231" s="2">
        <v>14.193548387096699</v>
      </c>
      <c r="Q231" s="3">
        <v>42.454617724051097</v>
      </c>
      <c r="R231" s="2">
        <v>0.28999999999999998</v>
      </c>
      <c r="S231" s="2">
        <v>21.89</v>
      </c>
      <c r="T231" s="2">
        <v>1.43</v>
      </c>
      <c r="V231" s="4">
        <f t="shared" si="15"/>
        <v>110</v>
      </c>
      <c r="W231">
        <f t="shared" si="12"/>
        <v>4</v>
      </c>
      <c r="X231">
        <f t="shared" si="13"/>
        <v>1</v>
      </c>
      <c r="Y231">
        <v>230</v>
      </c>
      <c r="Z231" s="4">
        <f t="shared" si="14"/>
        <v>224</v>
      </c>
    </row>
    <row r="232" spans="1:26" x14ac:dyDescent="0.2">
      <c r="A232" s="11">
        <v>49</v>
      </c>
      <c r="B232" s="4">
        <v>90</v>
      </c>
      <c r="C232" s="4">
        <v>2</v>
      </c>
      <c r="D232" s="4">
        <v>2</v>
      </c>
      <c r="E232" s="4">
        <v>1</v>
      </c>
      <c r="F232" s="4">
        <v>1</v>
      </c>
      <c r="G232" t="s">
        <v>223</v>
      </c>
      <c r="H232" s="4">
        <v>4</v>
      </c>
      <c r="I232" s="4">
        <v>27</v>
      </c>
      <c r="J232" s="4">
        <v>10</v>
      </c>
      <c r="K232" s="2">
        <v>14.814814814814801</v>
      </c>
      <c r="L232" s="2">
        <v>40</v>
      </c>
      <c r="M232" s="2">
        <v>0.699726194097961</v>
      </c>
      <c r="N232" s="1">
        <v>1.4502770982190599E-6</v>
      </c>
      <c r="O232" s="2">
        <v>5.8385490110546003</v>
      </c>
      <c r="P232" s="2">
        <v>57.165217391304303</v>
      </c>
      <c r="Q232" s="3">
        <v>144.283617352297</v>
      </c>
      <c r="R232" s="2">
        <v>4.92</v>
      </c>
      <c r="S232" s="2">
        <v>24.3</v>
      </c>
      <c r="T232" s="2">
        <v>1.58</v>
      </c>
      <c r="V232" s="4">
        <f t="shared" si="15"/>
        <v>111</v>
      </c>
      <c r="W232">
        <f t="shared" si="12"/>
        <v>4</v>
      </c>
      <c r="X232">
        <f t="shared" si="13"/>
        <v>1</v>
      </c>
      <c r="Y232">
        <v>231</v>
      </c>
      <c r="Z232" s="4">
        <f t="shared" si="14"/>
        <v>225</v>
      </c>
    </row>
    <row r="233" spans="1:26" x14ac:dyDescent="0.2">
      <c r="A233" s="11">
        <v>49</v>
      </c>
      <c r="B233" s="4">
        <v>90</v>
      </c>
      <c r="C233" s="4">
        <v>2</v>
      </c>
      <c r="D233" s="4">
        <v>2</v>
      </c>
      <c r="E233" s="4">
        <v>1</v>
      </c>
      <c r="F233" s="4">
        <v>2</v>
      </c>
      <c r="G233" t="s">
        <v>224</v>
      </c>
      <c r="H233" s="4">
        <v>4</v>
      </c>
      <c r="I233" s="4">
        <v>10</v>
      </c>
      <c r="J233" s="4">
        <v>27</v>
      </c>
      <c r="K233" s="2">
        <v>40</v>
      </c>
      <c r="L233" s="2">
        <v>14.814814814814801</v>
      </c>
      <c r="M233" s="2">
        <v>0.18348623853210999</v>
      </c>
      <c r="N233" s="1">
        <v>1.4502770982190599E-6</v>
      </c>
      <c r="O233" s="2">
        <v>5.8385490110546003</v>
      </c>
      <c r="P233" s="2">
        <v>80.740740740740705</v>
      </c>
      <c r="Q233" s="3">
        <v>144.283617352297</v>
      </c>
      <c r="R233" s="2">
        <v>0.94</v>
      </c>
      <c r="S233" s="2">
        <v>24.3</v>
      </c>
      <c r="T233" s="2">
        <v>1.58</v>
      </c>
      <c r="V233" s="4">
        <f t="shared" si="15"/>
        <v>111</v>
      </c>
      <c r="W233">
        <f t="shared" si="12"/>
        <v>4</v>
      </c>
      <c r="X233">
        <f t="shared" si="13"/>
        <v>1</v>
      </c>
      <c r="Y233">
        <v>232</v>
      </c>
      <c r="Z233" s="4">
        <f t="shared" si="14"/>
        <v>226</v>
      </c>
    </row>
    <row r="234" spans="1:26" x14ac:dyDescent="0.2">
      <c r="A234" s="11">
        <v>49</v>
      </c>
      <c r="B234" s="4">
        <v>170</v>
      </c>
      <c r="C234" s="4">
        <v>2</v>
      </c>
      <c r="D234" s="4">
        <v>2</v>
      </c>
      <c r="E234" s="4">
        <v>1</v>
      </c>
      <c r="F234" s="4">
        <v>1</v>
      </c>
      <c r="G234" t="s">
        <v>225</v>
      </c>
      <c r="H234" s="4">
        <v>4</v>
      </c>
      <c r="I234" s="4">
        <v>12</v>
      </c>
      <c r="J234" s="4">
        <v>32</v>
      </c>
      <c r="K234" s="2">
        <v>33.3333333333333</v>
      </c>
      <c r="L234" s="2">
        <v>12.5</v>
      </c>
      <c r="M234" s="2">
        <v>0.24502297090352201</v>
      </c>
      <c r="N234" s="1">
        <v>6.8591357751729599E-6</v>
      </c>
      <c r="O234" s="2">
        <v>5.1637306002870398</v>
      </c>
      <c r="P234" s="2">
        <v>51.015625</v>
      </c>
      <c r="Q234" s="3">
        <v>99.620162164810907</v>
      </c>
      <c r="R234" s="2">
        <v>3.98</v>
      </c>
      <c r="S234" s="2">
        <v>21.62</v>
      </c>
      <c r="T234" s="2">
        <v>1.41</v>
      </c>
      <c r="V234" s="4">
        <f t="shared" si="15"/>
        <v>112</v>
      </c>
      <c r="W234">
        <f t="shared" si="12"/>
        <v>4</v>
      </c>
      <c r="X234">
        <f t="shared" si="13"/>
        <v>1</v>
      </c>
      <c r="Y234">
        <v>233</v>
      </c>
      <c r="Z234" s="4">
        <f t="shared" si="14"/>
        <v>227</v>
      </c>
    </row>
    <row r="235" spans="1:26" x14ac:dyDescent="0.2">
      <c r="A235" s="11">
        <v>49</v>
      </c>
      <c r="B235" s="4">
        <v>170</v>
      </c>
      <c r="C235" s="4">
        <v>2</v>
      </c>
      <c r="D235" s="4">
        <v>2</v>
      </c>
      <c r="E235" s="4">
        <v>1</v>
      </c>
      <c r="F235" s="4">
        <v>2</v>
      </c>
      <c r="G235" t="s">
        <v>226</v>
      </c>
      <c r="H235" s="4">
        <v>4</v>
      </c>
      <c r="I235" s="4">
        <v>32</v>
      </c>
      <c r="J235" s="4">
        <v>12</v>
      </c>
      <c r="K235" s="2">
        <v>12.5</v>
      </c>
      <c r="L235" s="2">
        <v>33.3333333333333</v>
      </c>
      <c r="M235" s="2">
        <v>0.85235920852359204</v>
      </c>
      <c r="N235" s="1">
        <v>6.8591357751729599E-6</v>
      </c>
      <c r="O235" s="2">
        <v>5.1637306002870398</v>
      </c>
      <c r="P235" s="2">
        <v>39.107142857142797</v>
      </c>
      <c r="Q235" s="3">
        <v>99.620162164810907</v>
      </c>
      <c r="R235" s="2">
        <v>14.4</v>
      </c>
      <c r="S235" s="2">
        <v>21.62</v>
      </c>
      <c r="T235" s="2">
        <v>1.41</v>
      </c>
      <c r="V235" s="4">
        <f t="shared" si="15"/>
        <v>112</v>
      </c>
      <c r="W235">
        <f t="shared" si="12"/>
        <v>4</v>
      </c>
      <c r="X235">
        <f t="shared" si="13"/>
        <v>1</v>
      </c>
      <c r="Y235">
        <v>234</v>
      </c>
      <c r="Z235" s="4">
        <f t="shared" si="14"/>
        <v>228</v>
      </c>
    </row>
    <row r="236" spans="1:26" x14ac:dyDescent="0.2">
      <c r="A236" s="11">
        <v>50</v>
      </c>
      <c r="B236" s="4">
        <v>552</v>
      </c>
      <c r="C236" s="4">
        <v>2</v>
      </c>
      <c r="D236" s="4">
        <v>2</v>
      </c>
      <c r="E236" s="4">
        <v>1</v>
      </c>
      <c r="F236" s="4">
        <v>1</v>
      </c>
      <c r="G236" t="s">
        <v>227</v>
      </c>
      <c r="H236" s="4">
        <v>8</v>
      </c>
      <c r="I236" s="4">
        <v>77</v>
      </c>
      <c r="J236" s="4">
        <v>40</v>
      </c>
      <c r="K236" s="2">
        <v>10.389610389610301</v>
      </c>
      <c r="L236" s="2">
        <v>20</v>
      </c>
      <c r="M236" s="2">
        <v>2.1185139699109601</v>
      </c>
      <c r="N236" s="1">
        <v>5.1596336050927996E-6</v>
      </c>
      <c r="O236" s="2">
        <v>5.2873811373138802</v>
      </c>
      <c r="P236" s="2">
        <v>9.4405797101449291</v>
      </c>
      <c r="Q236" s="3">
        <v>47.831070076263202</v>
      </c>
      <c r="R236" s="2">
        <v>0.46</v>
      </c>
      <c r="S236" s="2">
        <v>23.06</v>
      </c>
      <c r="T236" s="2">
        <v>1.5</v>
      </c>
      <c r="V236" s="4">
        <f t="shared" si="15"/>
        <v>113</v>
      </c>
      <c r="W236">
        <f t="shared" si="12"/>
        <v>4</v>
      </c>
      <c r="X236">
        <f t="shared" si="13"/>
        <v>1</v>
      </c>
      <c r="Y236">
        <v>235</v>
      </c>
      <c r="Z236" s="4">
        <f t="shared" si="14"/>
        <v>229</v>
      </c>
    </row>
    <row r="237" spans="1:26" x14ac:dyDescent="0.2">
      <c r="A237" s="11">
        <v>50</v>
      </c>
      <c r="B237" s="4">
        <v>552</v>
      </c>
      <c r="C237" s="4">
        <v>2</v>
      </c>
      <c r="D237" s="4">
        <v>2</v>
      </c>
      <c r="E237" s="4">
        <v>1</v>
      </c>
      <c r="F237" s="4">
        <v>2</v>
      </c>
      <c r="G237" t="s">
        <v>176</v>
      </c>
      <c r="H237" s="4">
        <v>8</v>
      </c>
      <c r="I237" s="4">
        <v>40</v>
      </c>
      <c r="J237" s="4">
        <v>77</v>
      </c>
      <c r="K237" s="2">
        <v>20</v>
      </c>
      <c r="L237" s="2">
        <v>10.389610389610301</v>
      </c>
      <c r="M237" s="2">
        <v>0.99378881987577605</v>
      </c>
      <c r="N237" s="1">
        <v>5.1596336050928098E-6</v>
      </c>
      <c r="O237" s="2">
        <v>5.2873811373138802</v>
      </c>
      <c r="P237" s="2">
        <v>10.4545454545454</v>
      </c>
      <c r="Q237" s="3">
        <v>47.831070076263202</v>
      </c>
      <c r="R237" s="2">
        <v>1.97</v>
      </c>
      <c r="S237" s="2">
        <v>23.06</v>
      </c>
      <c r="T237" s="2">
        <v>1.5</v>
      </c>
      <c r="V237" s="4">
        <f t="shared" si="15"/>
        <v>113</v>
      </c>
      <c r="W237">
        <f t="shared" si="12"/>
        <v>4</v>
      </c>
      <c r="X237">
        <f t="shared" si="13"/>
        <v>1</v>
      </c>
      <c r="Y237">
        <v>236</v>
      </c>
      <c r="Z237" s="4">
        <f t="shared" si="14"/>
        <v>230</v>
      </c>
    </row>
    <row r="238" spans="1:26" x14ac:dyDescent="0.2">
      <c r="A238" s="11">
        <v>50</v>
      </c>
      <c r="B238" s="4">
        <v>1036</v>
      </c>
      <c r="C238" s="4">
        <v>2</v>
      </c>
      <c r="D238" s="4">
        <v>2</v>
      </c>
      <c r="E238" s="4">
        <v>1</v>
      </c>
      <c r="F238" s="4">
        <v>1</v>
      </c>
      <c r="G238" t="s">
        <v>228</v>
      </c>
      <c r="H238" s="4">
        <v>5</v>
      </c>
      <c r="I238" s="4">
        <v>21</v>
      </c>
      <c r="J238" s="4">
        <v>36</v>
      </c>
      <c r="K238" s="2">
        <v>23.8095238095238</v>
      </c>
      <c r="L238" s="2">
        <v>13.8888888888888</v>
      </c>
      <c r="M238" s="2">
        <v>0.49064704078503502</v>
      </c>
      <c r="N238" s="1">
        <v>4.1788116283206604E-6</v>
      </c>
      <c r="O238" s="2">
        <v>5.3789472054595597</v>
      </c>
      <c r="P238" s="2">
        <v>28.3072916666666</v>
      </c>
      <c r="Q238" s="3">
        <v>80.935417919821603</v>
      </c>
      <c r="R238" s="2">
        <v>4.55</v>
      </c>
      <c r="S238" s="2">
        <v>24.06</v>
      </c>
      <c r="T238" s="2">
        <v>1.57</v>
      </c>
      <c r="V238" s="4">
        <f t="shared" si="15"/>
        <v>114</v>
      </c>
      <c r="W238">
        <f t="shared" si="12"/>
        <v>4</v>
      </c>
      <c r="X238">
        <f t="shared" si="13"/>
        <v>1</v>
      </c>
      <c r="Y238">
        <v>237</v>
      </c>
      <c r="Z238" s="4">
        <f t="shared" si="14"/>
        <v>231</v>
      </c>
    </row>
    <row r="239" spans="1:26" x14ac:dyDescent="0.2">
      <c r="A239" s="11">
        <v>50</v>
      </c>
      <c r="B239" s="4">
        <v>1036</v>
      </c>
      <c r="C239" s="4">
        <v>2</v>
      </c>
      <c r="D239" s="4">
        <v>2</v>
      </c>
      <c r="E239" s="4">
        <v>1</v>
      </c>
      <c r="F239" s="4">
        <v>2</v>
      </c>
      <c r="G239" t="s">
        <v>229</v>
      </c>
      <c r="H239" s="4">
        <v>5</v>
      </c>
      <c r="I239" s="4">
        <v>37</v>
      </c>
      <c r="J239" s="4">
        <v>21</v>
      </c>
      <c r="K239" s="2">
        <v>13.5135135135135</v>
      </c>
      <c r="L239" s="2">
        <v>23.8095238095238</v>
      </c>
      <c r="M239" s="2">
        <v>0.976800976800976</v>
      </c>
      <c r="N239" s="1">
        <v>4.8120949760230703E-6</v>
      </c>
      <c r="O239" s="2">
        <v>5.3176658096040699</v>
      </c>
      <c r="P239" s="2">
        <v>24.375</v>
      </c>
      <c r="Q239" s="3">
        <v>78.537339889736302</v>
      </c>
      <c r="R239" s="2">
        <v>19.91</v>
      </c>
      <c r="S239" s="2">
        <v>24.06</v>
      </c>
      <c r="T239" s="2">
        <v>1.57</v>
      </c>
      <c r="V239" s="4">
        <f t="shared" si="15"/>
        <v>114</v>
      </c>
      <c r="W239">
        <f t="shared" si="12"/>
        <v>4</v>
      </c>
      <c r="X239">
        <f t="shared" si="13"/>
        <v>1</v>
      </c>
      <c r="Y239">
        <v>238</v>
      </c>
      <c r="Z239" s="4">
        <f t="shared" si="14"/>
        <v>232</v>
      </c>
    </row>
    <row r="240" spans="1:26" x14ac:dyDescent="0.2">
      <c r="A240" s="11">
        <v>50</v>
      </c>
      <c r="B240" s="4">
        <v>2238</v>
      </c>
      <c r="C240" s="4">
        <v>2</v>
      </c>
      <c r="D240" s="4">
        <v>2</v>
      </c>
      <c r="E240" s="4">
        <v>1</v>
      </c>
      <c r="F240" s="4">
        <v>1</v>
      </c>
      <c r="G240" t="s">
        <v>230</v>
      </c>
      <c r="H240" s="4">
        <v>4</v>
      </c>
      <c r="I240" s="4">
        <v>63</v>
      </c>
      <c r="J240" s="4">
        <v>6</v>
      </c>
      <c r="K240" s="2">
        <v>6.34920634920634</v>
      </c>
      <c r="L240" s="2">
        <v>66.6666666666666</v>
      </c>
      <c r="M240" s="2">
        <v>1.7927681555758099</v>
      </c>
      <c r="N240" s="1">
        <v>3.53274019151507E-6</v>
      </c>
      <c r="O240" s="2">
        <v>5.4518883007310999</v>
      </c>
      <c r="P240" s="2">
        <v>37.186440677966097</v>
      </c>
      <c r="Q240" s="3">
        <v>102.094977233593</v>
      </c>
      <c r="R240" s="2">
        <v>38.369999999999997</v>
      </c>
      <c r="S240" s="2">
        <v>21.57</v>
      </c>
      <c r="T240" s="2">
        <v>1.41</v>
      </c>
      <c r="V240" s="4">
        <f t="shared" si="15"/>
        <v>115</v>
      </c>
      <c r="W240">
        <f t="shared" si="12"/>
        <v>4</v>
      </c>
      <c r="X240">
        <f t="shared" si="13"/>
        <v>1</v>
      </c>
      <c r="Y240">
        <v>239</v>
      </c>
      <c r="Z240" s="4">
        <f t="shared" si="14"/>
        <v>233</v>
      </c>
    </row>
    <row r="241" spans="1:26" x14ac:dyDescent="0.2">
      <c r="A241" s="11">
        <v>50</v>
      </c>
      <c r="B241" s="4">
        <v>2238</v>
      </c>
      <c r="C241" s="4">
        <v>2</v>
      </c>
      <c r="D241" s="4">
        <v>2</v>
      </c>
      <c r="E241" s="4">
        <v>1</v>
      </c>
      <c r="F241" s="4">
        <v>2</v>
      </c>
      <c r="G241" t="s">
        <v>231</v>
      </c>
      <c r="H241" s="4">
        <v>4</v>
      </c>
      <c r="I241" s="4">
        <v>6</v>
      </c>
      <c r="J241" s="4">
        <v>63</v>
      </c>
      <c r="K241" s="2">
        <v>66.6666666666666</v>
      </c>
      <c r="L241" s="2">
        <v>6.34920634920634</v>
      </c>
      <c r="M241" s="2">
        <v>6.1842918985776103E-2</v>
      </c>
      <c r="N241" s="1">
        <v>3.5327401915150802E-6</v>
      </c>
      <c r="O241" s="2">
        <v>5.4518883007310999</v>
      </c>
      <c r="P241" s="2">
        <v>102.666666666666</v>
      </c>
      <c r="Q241" s="3">
        <v>102.094977233593</v>
      </c>
      <c r="R241" s="2">
        <v>0.47</v>
      </c>
      <c r="S241" s="2">
        <v>21.57</v>
      </c>
      <c r="T241" s="2">
        <v>1.41</v>
      </c>
      <c r="V241" s="4">
        <f t="shared" si="15"/>
        <v>115</v>
      </c>
      <c r="W241">
        <f t="shared" si="12"/>
        <v>4</v>
      </c>
      <c r="X241">
        <f t="shared" si="13"/>
        <v>1</v>
      </c>
      <c r="Y241">
        <v>240</v>
      </c>
      <c r="Z241" s="4">
        <f t="shared" si="14"/>
        <v>234</v>
      </c>
    </row>
    <row r="242" spans="1:26" x14ac:dyDescent="0.2">
      <c r="A242" s="11">
        <v>51</v>
      </c>
      <c r="B242" s="4">
        <v>383</v>
      </c>
      <c r="C242" s="4">
        <v>2</v>
      </c>
      <c r="D242" s="4">
        <v>2</v>
      </c>
      <c r="E242" s="4">
        <v>1</v>
      </c>
      <c r="F242" s="4">
        <v>1</v>
      </c>
      <c r="G242" t="s">
        <v>84</v>
      </c>
      <c r="H242" s="4">
        <v>4</v>
      </c>
      <c r="I242" s="4">
        <v>27</v>
      </c>
      <c r="J242" s="4">
        <v>15</v>
      </c>
      <c r="K242" s="2">
        <v>14.814814814814801</v>
      </c>
      <c r="L242" s="2">
        <v>26.6666666666666</v>
      </c>
      <c r="M242" s="2">
        <v>0.70079219987812302</v>
      </c>
      <c r="N242" s="1">
        <v>9.1663264534073093E-6</v>
      </c>
      <c r="O242" s="2">
        <v>5.0378046796693701</v>
      </c>
      <c r="P242" s="2">
        <v>38.052173913043397</v>
      </c>
      <c r="Q242" s="3">
        <v>94.041388718062393</v>
      </c>
      <c r="R242" s="2">
        <v>32.380000000000003</v>
      </c>
      <c r="S242" s="2">
        <v>20.41</v>
      </c>
      <c r="T242" s="2">
        <v>1.33</v>
      </c>
      <c r="V242" s="4">
        <f t="shared" si="15"/>
        <v>116</v>
      </c>
      <c r="W242">
        <f t="shared" si="12"/>
        <v>4</v>
      </c>
      <c r="X242">
        <f t="shared" si="13"/>
        <v>1</v>
      </c>
      <c r="Y242">
        <v>241</v>
      </c>
      <c r="Z242" s="4">
        <f t="shared" si="14"/>
        <v>235</v>
      </c>
    </row>
    <row r="243" spans="1:26" x14ac:dyDescent="0.2">
      <c r="A243" s="11">
        <v>51</v>
      </c>
      <c r="B243" s="4">
        <v>383</v>
      </c>
      <c r="C243" s="4">
        <v>2</v>
      </c>
      <c r="D243" s="4">
        <v>2</v>
      </c>
      <c r="E243" s="4">
        <v>1</v>
      </c>
      <c r="F243" s="4">
        <v>2</v>
      </c>
      <c r="G243" t="s">
        <v>232</v>
      </c>
      <c r="H243" s="4">
        <v>4</v>
      </c>
      <c r="I243" s="4">
        <v>15</v>
      </c>
      <c r="J243" s="4">
        <v>26</v>
      </c>
      <c r="K243" s="2">
        <v>26.6666666666666</v>
      </c>
      <c r="L243" s="2">
        <v>15.3846153846153</v>
      </c>
      <c r="M243" s="2">
        <v>0.33628859675939998</v>
      </c>
      <c r="N243" s="1">
        <v>7.8293394495775003E-6</v>
      </c>
      <c r="O243" s="2">
        <v>5.1062748772146902</v>
      </c>
      <c r="P243" s="2">
        <v>45.748251748251697</v>
      </c>
      <c r="Q243" s="3">
        <v>97.891729844470404</v>
      </c>
      <c r="R243" s="2">
        <v>5.1100000000000003</v>
      </c>
      <c r="S243" s="2">
        <v>20.41</v>
      </c>
      <c r="T243" s="2">
        <v>1.33</v>
      </c>
      <c r="V243" s="4">
        <f t="shared" si="15"/>
        <v>116</v>
      </c>
      <c r="W243">
        <f t="shared" si="12"/>
        <v>4</v>
      </c>
      <c r="X243">
        <f t="shared" si="13"/>
        <v>1</v>
      </c>
      <c r="Y243">
        <v>242</v>
      </c>
      <c r="Z243" s="4">
        <f t="shared" si="14"/>
        <v>236</v>
      </c>
    </row>
    <row r="244" spans="1:26" x14ac:dyDescent="0.2">
      <c r="A244" s="11">
        <v>51</v>
      </c>
      <c r="B244" s="4">
        <v>408</v>
      </c>
      <c r="C244" s="4">
        <v>2</v>
      </c>
      <c r="D244" s="4">
        <v>2</v>
      </c>
      <c r="E244" s="4">
        <v>1</v>
      </c>
      <c r="F244" s="4">
        <v>1</v>
      </c>
      <c r="G244" t="s">
        <v>33</v>
      </c>
      <c r="H244" s="4">
        <v>106</v>
      </c>
      <c r="I244" s="4">
        <v>373</v>
      </c>
      <c r="J244" s="4">
        <v>582</v>
      </c>
      <c r="K244" s="2">
        <v>28.418230563002599</v>
      </c>
      <c r="L244" s="2">
        <v>18.2130584192439</v>
      </c>
      <c r="M244" s="2">
        <v>9.8342541436464099</v>
      </c>
      <c r="N244" s="1">
        <v>5.8800215338024197E-8</v>
      </c>
      <c r="O244" s="2">
        <v>7.23062108344861</v>
      </c>
      <c r="P244" s="2">
        <v>1.8520020077995201</v>
      </c>
      <c r="Q244" s="3">
        <v>33.534331788370899</v>
      </c>
      <c r="R244" s="2">
        <v>18.059999999999999</v>
      </c>
      <c r="S244" s="2">
        <v>20.86</v>
      </c>
      <c r="T244" s="2">
        <v>1.36</v>
      </c>
      <c r="V244" s="4">
        <f t="shared" si="15"/>
        <v>117</v>
      </c>
      <c r="W244">
        <f t="shared" si="12"/>
        <v>4</v>
      </c>
      <c r="X244">
        <f t="shared" si="13"/>
        <v>1</v>
      </c>
      <c r="Y244">
        <v>243</v>
      </c>
      <c r="Z244" s="4">
        <f t="shared" si="14"/>
        <v>237</v>
      </c>
    </row>
    <row r="245" spans="1:26" x14ac:dyDescent="0.2">
      <c r="A245" s="11">
        <v>51</v>
      </c>
      <c r="B245" s="4">
        <v>408</v>
      </c>
      <c r="C245" s="4">
        <v>2</v>
      </c>
      <c r="D245" s="4">
        <v>2</v>
      </c>
      <c r="E245" s="4">
        <v>1</v>
      </c>
      <c r="F245" s="4">
        <v>2</v>
      </c>
      <c r="G245" t="s">
        <v>233</v>
      </c>
      <c r="H245" s="4">
        <v>106</v>
      </c>
      <c r="I245" s="4">
        <v>593</v>
      </c>
      <c r="J245" s="4">
        <v>363</v>
      </c>
      <c r="K245" s="2">
        <v>17.875210792580098</v>
      </c>
      <c r="L245" s="2">
        <v>29.201101928374602</v>
      </c>
      <c r="M245" s="2">
        <v>16.598500340831599</v>
      </c>
      <c r="N245" s="1">
        <v>3.4211365956101603E-8</v>
      </c>
      <c r="O245" s="2">
        <v>7.4658295854070298</v>
      </c>
      <c r="P245" s="2">
        <v>1.7592614590934501</v>
      </c>
      <c r="Q245" s="3">
        <v>34.781212266513798</v>
      </c>
      <c r="R245" s="2">
        <v>45.52</v>
      </c>
      <c r="S245" s="2">
        <v>20.86</v>
      </c>
      <c r="T245" s="2">
        <v>1.36</v>
      </c>
      <c r="V245" s="4">
        <f t="shared" si="15"/>
        <v>117</v>
      </c>
      <c r="W245">
        <f t="shared" si="12"/>
        <v>4</v>
      </c>
      <c r="X245">
        <f t="shared" si="13"/>
        <v>1</v>
      </c>
      <c r="Y245">
        <v>244</v>
      </c>
      <c r="Z245" s="4">
        <f t="shared" si="14"/>
        <v>238</v>
      </c>
    </row>
    <row r="246" spans="1:26" x14ac:dyDescent="0.2">
      <c r="A246" s="11">
        <v>51</v>
      </c>
      <c r="B246" s="4">
        <v>1563</v>
      </c>
      <c r="C246" s="4">
        <v>2</v>
      </c>
      <c r="D246" s="4">
        <v>2</v>
      </c>
      <c r="E246" s="4">
        <v>1</v>
      </c>
      <c r="F246" s="4">
        <v>1</v>
      </c>
      <c r="G246" t="s">
        <v>234</v>
      </c>
      <c r="H246" s="4">
        <v>8</v>
      </c>
      <c r="I246" s="4">
        <v>235</v>
      </c>
      <c r="J246" s="4">
        <v>16</v>
      </c>
      <c r="K246" s="2">
        <v>3.40425531914893</v>
      </c>
      <c r="L246" s="2">
        <v>50</v>
      </c>
      <c r="M246" s="2">
        <v>6.9186223712282802</v>
      </c>
      <c r="N246" s="1">
        <v>9.2484053691191705E-6</v>
      </c>
      <c r="O246" s="2">
        <v>5.03393314283863</v>
      </c>
      <c r="P246" s="2">
        <v>7.22687224669603</v>
      </c>
      <c r="Q246" s="3">
        <v>38.371872155088298</v>
      </c>
      <c r="R246" s="2">
        <v>5.32</v>
      </c>
      <c r="S246" s="2">
        <v>21.42</v>
      </c>
      <c r="T246" s="2">
        <v>1.4</v>
      </c>
      <c r="V246" s="4">
        <f t="shared" si="15"/>
        <v>118</v>
      </c>
      <c r="W246">
        <f t="shared" si="12"/>
        <v>4</v>
      </c>
      <c r="X246">
        <f t="shared" si="13"/>
        <v>1</v>
      </c>
      <c r="Y246">
        <v>245</v>
      </c>
      <c r="Z246" s="4">
        <f t="shared" si="14"/>
        <v>239</v>
      </c>
    </row>
    <row r="247" spans="1:26" x14ac:dyDescent="0.2">
      <c r="A247" s="11">
        <v>51</v>
      </c>
      <c r="B247" s="4">
        <v>1563</v>
      </c>
      <c r="C247" s="4">
        <v>2</v>
      </c>
      <c r="D247" s="4">
        <v>2</v>
      </c>
      <c r="E247" s="4">
        <v>1</v>
      </c>
      <c r="F247" s="4">
        <v>2</v>
      </c>
      <c r="G247" t="s">
        <v>235</v>
      </c>
      <c r="H247" s="4">
        <v>8</v>
      </c>
      <c r="I247" s="4">
        <v>16</v>
      </c>
      <c r="J247" s="4">
        <v>230</v>
      </c>
      <c r="K247" s="2">
        <v>50</v>
      </c>
      <c r="L247" s="2">
        <v>3.4782608695652102</v>
      </c>
      <c r="M247" s="2">
        <v>0.26084121291163997</v>
      </c>
      <c r="N247" s="1">
        <v>7.85541337622637E-6</v>
      </c>
      <c r="O247" s="2">
        <v>5.10483095609945</v>
      </c>
      <c r="P247" s="2">
        <v>13.334782608695599</v>
      </c>
      <c r="Q247" s="3">
        <v>39.441385138294002</v>
      </c>
      <c r="R247" s="2">
        <v>2.5099999999999998</v>
      </c>
      <c r="S247" s="2">
        <v>21.42</v>
      </c>
      <c r="T247" s="2">
        <v>1.4</v>
      </c>
      <c r="V247" s="4">
        <f t="shared" si="15"/>
        <v>118</v>
      </c>
      <c r="W247">
        <f t="shared" si="12"/>
        <v>4</v>
      </c>
      <c r="X247">
        <f t="shared" si="13"/>
        <v>1</v>
      </c>
      <c r="Y247">
        <v>246</v>
      </c>
      <c r="Z247" s="4">
        <f t="shared" si="14"/>
        <v>240</v>
      </c>
    </row>
    <row r="248" spans="1:26" x14ac:dyDescent="0.2">
      <c r="A248" s="11">
        <v>52</v>
      </c>
      <c r="B248" s="4">
        <v>232</v>
      </c>
      <c r="C248" s="4">
        <v>2</v>
      </c>
      <c r="D248" s="4">
        <v>2</v>
      </c>
      <c r="E248" s="4">
        <v>1</v>
      </c>
      <c r="F248" s="4">
        <v>1</v>
      </c>
      <c r="G248" t="s">
        <v>236</v>
      </c>
      <c r="H248" s="4">
        <v>4</v>
      </c>
      <c r="I248" s="4">
        <v>8</v>
      </c>
      <c r="J248" s="4">
        <v>47</v>
      </c>
      <c r="K248" s="2">
        <v>50</v>
      </c>
      <c r="L248" s="2">
        <v>8.5106382978723403</v>
      </c>
      <c r="M248" s="2">
        <v>0.123076923076923</v>
      </c>
      <c r="N248" s="1">
        <v>4.8722125108209998E-6</v>
      </c>
      <c r="O248" s="2">
        <v>5.3122737773817201</v>
      </c>
      <c r="P248" s="2">
        <v>69.148936170212707</v>
      </c>
      <c r="Q248" s="3">
        <v>102.231473663949</v>
      </c>
      <c r="R248" s="2">
        <v>28</v>
      </c>
      <c r="S248" s="2">
        <v>20.14</v>
      </c>
      <c r="T248" s="2">
        <v>1.31</v>
      </c>
      <c r="V248" s="4">
        <f t="shared" si="15"/>
        <v>119</v>
      </c>
      <c r="W248">
        <f t="shared" si="12"/>
        <v>4</v>
      </c>
      <c r="X248">
        <f t="shared" si="13"/>
        <v>1</v>
      </c>
      <c r="Y248">
        <v>247</v>
      </c>
      <c r="Z248" s="4">
        <f t="shared" si="14"/>
        <v>241</v>
      </c>
    </row>
    <row r="249" spans="1:26" x14ac:dyDescent="0.2">
      <c r="A249" s="11">
        <v>52</v>
      </c>
      <c r="B249" s="4">
        <v>232</v>
      </c>
      <c r="C249" s="4">
        <v>2</v>
      </c>
      <c r="D249" s="4">
        <v>2</v>
      </c>
      <c r="E249" s="4">
        <v>1</v>
      </c>
      <c r="F249" s="4">
        <v>2</v>
      </c>
      <c r="G249" t="s">
        <v>237</v>
      </c>
      <c r="H249" s="4">
        <v>4</v>
      </c>
      <c r="I249" s="4">
        <v>50</v>
      </c>
      <c r="J249" s="4">
        <v>8</v>
      </c>
      <c r="K249" s="2">
        <v>8</v>
      </c>
      <c r="L249" s="2">
        <v>50</v>
      </c>
      <c r="M249" s="2">
        <v>1.3986013986013901</v>
      </c>
      <c r="N249" s="1">
        <v>6.2723730780940099E-6</v>
      </c>
      <c r="O249" s="2">
        <v>5.2025681179035201</v>
      </c>
      <c r="P249" s="2">
        <v>35.75</v>
      </c>
      <c r="Q249" s="3">
        <v>95.773242106835596</v>
      </c>
      <c r="R249" s="2">
        <v>1</v>
      </c>
      <c r="S249" s="2">
        <v>20.14</v>
      </c>
      <c r="T249" s="2">
        <v>1.31</v>
      </c>
      <c r="V249" s="4">
        <f t="shared" si="15"/>
        <v>119</v>
      </c>
      <c r="W249">
        <f t="shared" si="12"/>
        <v>4</v>
      </c>
      <c r="X249">
        <f t="shared" si="13"/>
        <v>1</v>
      </c>
      <c r="Y249">
        <v>248</v>
      </c>
      <c r="Z249" s="4">
        <f t="shared" si="14"/>
        <v>242</v>
      </c>
    </row>
    <row r="250" spans="1:26" x14ac:dyDescent="0.2">
      <c r="A250" s="11">
        <v>52</v>
      </c>
      <c r="B250" s="4">
        <v>875</v>
      </c>
      <c r="C250" s="4">
        <v>2</v>
      </c>
      <c r="D250" s="4">
        <v>2</v>
      </c>
      <c r="E250" s="4">
        <v>1</v>
      </c>
      <c r="F250" s="4">
        <v>1</v>
      </c>
      <c r="G250" t="s">
        <v>238</v>
      </c>
      <c r="H250" s="4">
        <v>6</v>
      </c>
      <c r="I250" s="4">
        <v>24</v>
      </c>
      <c r="J250" s="4">
        <v>62</v>
      </c>
      <c r="K250" s="2">
        <v>25</v>
      </c>
      <c r="L250" s="2">
        <v>9.67741935483871</v>
      </c>
      <c r="M250" s="2">
        <v>0.55641421947449698</v>
      </c>
      <c r="N250" s="1">
        <v>7.1539299564752702E-6</v>
      </c>
      <c r="O250" s="2">
        <v>5.1454553163068697</v>
      </c>
      <c r="P250" s="2">
        <v>17.392473118279501</v>
      </c>
      <c r="Q250" s="3">
        <v>57.981495901352297</v>
      </c>
      <c r="R250" s="2">
        <v>1.52</v>
      </c>
      <c r="S250" s="2">
        <v>22.62</v>
      </c>
      <c r="T250" s="2">
        <v>1.47</v>
      </c>
      <c r="V250" s="4">
        <f t="shared" si="15"/>
        <v>120</v>
      </c>
      <c r="W250">
        <f t="shared" si="12"/>
        <v>4</v>
      </c>
      <c r="X250">
        <f t="shared" si="13"/>
        <v>1</v>
      </c>
      <c r="Y250">
        <v>249</v>
      </c>
      <c r="Z250" s="4">
        <f t="shared" si="14"/>
        <v>243</v>
      </c>
    </row>
    <row r="251" spans="1:26" x14ac:dyDescent="0.2">
      <c r="A251" s="11">
        <v>52</v>
      </c>
      <c r="B251" s="4">
        <v>875</v>
      </c>
      <c r="C251" s="4">
        <v>2</v>
      </c>
      <c r="D251" s="4">
        <v>2</v>
      </c>
      <c r="E251" s="4">
        <v>1</v>
      </c>
      <c r="F251" s="4">
        <v>2</v>
      </c>
      <c r="G251" t="s">
        <v>239</v>
      </c>
      <c r="H251" s="4">
        <v>6</v>
      </c>
      <c r="I251" s="4">
        <v>62</v>
      </c>
      <c r="J251" s="4">
        <v>24</v>
      </c>
      <c r="K251" s="2">
        <v>9.67741935483871</v>
      </c>
      <c r="L251" s="2">
        <v>25</v>
      </c>
      <c r="M251" s="2">
        <v>1.71096853040024</v>
      </c>
      <c r="N251" s="1">
        <v>7.1539299564752999E-6</v>
      </c>
      <c r="O251" s="2">
        <v>5.1454553163068599</v>
      </c>
      <c r="P251" s="2">
        <v>14.6116071428571</v>
      </c>
      <c r="Q251" s="3">
        <v>57.981495901352297</v>
      </c>
      <c r="R251" s="2">
        <v>2.76</v>
      </c>
      <c r="S251" s="2">
        <v>22.62</v>
      </c>
      <c r="T251" s="2">
        <v>1.47</v>
      </c>
      <c r="V251" s="4">
        <f t="shared" si="15"/>
        <v>120</v>
      </c>
      <c r="W251">
        <f t="shared" si="12"/>
        <v>4</v>
      </c>
      <c r="X251">
        <f t="shared" si="13"/>
        <v>1</v>
      </c>
      <c r="Y251">
        <v>250</v>
      </c>
      <c r="Z251" s="4">
        <f t="shared" si="14"/>
        <v>244</v>
      </c>
    </row>
    <row r="252" spans="1:26" x14ac:dyDescent="0.2">
      <c r="A252" s="11">
        <v>53</v>
      </c>
      <c r="B252" s="4">
        <v>212</v>
      </c>
      <c r="C252" s="4">
        <v>2</v>
      </c>
      <c r="D252" s="4">
        <v>2</v>
      </c>
      <c r="E252" s="4">
        <v>1</v>
      </c>
      <c r="F252" s="4">
        <v>1</v>
      </c>
      <c r="G252" t="s">
        <v>240</v>
      </c>
      <c r="H252" s="4">
        <v>7</v>
      </c>
      <c r="I252" s="4">
        <v>28</v>
      </c>
      <c r="J252" s="4">
        <v>76</v>
      </c>
      <c r="K252" s="2">
        <v>25</v>
      </c>
      <c r="L252" s="2">
        <v>9.2105263157894708</v>
      </c>
      <c r="M252" s="2">
        <v>0.65197143744178798</v>
      </c>
      <c r="N252" s="1">
        <v>4.2032995181553799E-6</v>
      </c>
      <c r="O252" s="2">
        <v>5.3764096619937396</v>
      </c>
      <c r="P252" s="2">
        <v>14.1271929824561</v>
      </c>
      <c r="Q252" s="3">
        <v>54.823757823036999</v>
      </c>
      <c r="R252" s="2">
        <v>1.38</v>
      </c>
      <c r="S252" s="2">
        <v>24.97</v>
      </c>
      <c r="T252" s="2">
        <v>1.63</v>
      </c>
      <c r="V252" s="4">
        <f t="shared" si="15"/>
        <v>121</v>
      </c>
      <c r="W252">
        <f t="shared" si="12"/>
        <v>4</v>
      </c>
      <c r="X252">
        <f t="shared" si="13"/>
        <v>1</v>
      </c>
      <c r="Y252">
        <v>251</v>
      </c>
      <c r="Z252" s="4">
        <f t="shared" si="14"/>
        <v>245</v>
      </c>
    </row>
    <row r="253" spans="1:26" x14ac:dyDescent="0.2">
      <c r="A253" s="11">
        <v>53</v>
      </c>
      <c r="B253" s="4">
        <v>212</v>
      </c>
      <c r="C253" s="4">
        <v>2</v>
      </c>
      <c r="D253" s="4">
        <v>2</v>
      </c>
      <c r="E253" s="4">
        <v>1</v>
      </c>
      <c r="F253" s="4">
        <v>2</v>
      </c>
      <c r="G253" t="s">
        <v>241</v>
      </c>
      <c r="H253" s="4">
        <v>7</v>
      </c>
      <c r="I253" s="4">
        <v>77</v>
      </c>
      <c r="J253" s="4">
        <v>28</v>
      </c>
      <c r="K253" s="2">
        <v>9.0909090909090899</v>
      </c>
      <c r="L253" s="2">
        <v>25</v>
      </c>
      <c r="M253" s="2">
        <v>2.1413276231263301</v>
      </c>
      <c r="N253" s="1">
        <v>4.5974883942638801E-6</v>
      </c>
      <c r="O253" s="2">
        <v>5.3374793584060303</v>
      </c>
      <c r="P253" s="2">
        <v>11.675000000000001</v>
      </c>
      <c r="Q253" s="3">
        <v>53.971643123599698</v>
      </c>
      <c r="R253" s="2">
        <v>1.72</v>
      </c>
      <c r="S253" s="2">
        <v>24.97</v>
      </c>
      <c r="T253" s="2">
        <v>1.63</v>
      </c>
      <c r="V253" s="4">
        <f t="shared" si="15"/>
        <v>121</v>
      </c>
      <c r="W253">
        <f t="shared" si="12"/>
        <v>4</v>
      </c>
      <c r="X253">
        <f t="shared" si="13"/>
        <v>1</v>
      </c>
      <c r="Y253">
        <v>252</v>
      </c>
      <c r="Z253" s="4">
        <f t="shared" si="14"/>
        <v>246</v>
      </c>
    </row>
    <row r="254" spans="1:26" x14ac:dyDescent="0.2">
      <c r="A254" s="11">
        <v>53</v>
      </c>
      <c r="B254" s="4">
        <v>362</v>
      </c>
      <c r="C254" s="4">
        <v>2</v>
      </c>
      <c r="D254" s="4">
        <v>2</v>
      </c>
      <c r="E254" s="4">
        <v>1</v>
      </c>
      <c r="F254" s="4">
        <v>1</v>
      </c>
      <c r="G254" t="s">
        <v>242</v>
      </c>
      <c r="H254" s="4">
        <v>5</v>
      </c>
      <c r="I254" s="4">
        <v>7</v>
      </c>
      <c r="J254" s="4">
        <v>140</v>
      </c>
      <c r="K254" s="2">
        <v>71.428571428571402</v>
      </c>
      <c r="L254" s="2">
        <v>3.5714285714285698</v>
      </c>
      <c r="M254" s="2">
        <v>6.3351282863477895E-2</v>
      </c>
      <c r="N254" s="1">
        <v>5.0473492867473704E-6</v>
      </c>
      <c r="O254" s="2">
        <v>5.2969366401725697</v>
      </c>
      <c r="P254" s="2">
        <v>56.375</v>
      </c>
      <c r="Q254" s="3">
        <v>62.1912783395898</v>
      </c>
      <c r="R254" s="2">
        <v>6.57</v>
      </c>
      <c r="S254" s="2">
        <v>20.8</v>
      </c>
      <c r="T254" s="2">
        <v>1.36</v>
      </c>
      <c r="V254" s="4">
        <f t="shared" si="15"/>
        <v>122</v>
      </c>
      <c r="W254">
        <f t="shared" si="12"/>
        <v>4</v>
      </c>
      <c r="X254">
        <f t="shared" si="13"/>
        <v>1</v>
      </c>
      <c r="Y254">
        <v>253</v>
      </c>
      <c r="Z254" s="4">
        <f t="shared" si="14"/>
        <v>247</v>
      </c>
    </row>
    <row r="255" spans="1:26" x14ac:dyDescent="0.2">
      <c r="A255" s="11">
        <v>53</v>
      </c>
      <c r="B255" s="4">
        <v>362</v>
      </c>
      <c r="C255" s="4">
        <v>2</v>
      </c>
      <c r="D255" s="4">
        <v>2</v>
      </c>
      <c r="E255" s="4">
        <v>1</v>
      </c>
      <c r="F255" s="4">
        <v>2</v>
      </c>
      <c r="G255" t="s">
        <v>132</v>
      </c>
      <c r="H255" s="4">
        <v>5</v>
      </c>
      <c r="I255" s="4">
        <v>141</v>
      </c>
      <c r="J255" s="4">
        <v>7</v>
      </c>
      <c r="K255" s="2">
        <v>3.5460992907801399</v>
      </c>
      <c r="L255" s="2">
        <v>71.428571428571402</v>
      </c>
      <c r="M255" s="2">
        <v>4.1337386018237003</v>
      </c>
      <c r="N255" s="1">
        <v>5.2301734266091796E-6</v>
      </c>
      <c r="O255" s="2">
        <v>5.2814839101823097</v>
      </c>
      <c r="P255" s="2">
        <v>17.279411764705799</v>
      </c>
      <c r="Q255" s="3">
        <v>61.7073777103518</v>
      </c>
      <c r="R255" s="2">
        <v>63.96</v>
      </c>
      <c r="S255" s="2">
        <v>20.8</v>
      </c>
      <c r="T255" s="2">
        <v>1.36</v>
      </c>
      <c r="V255" s="4">
        <f t="shared" si="15"/>
        <v>122</v>
      </c>
      <c r="W255">
        <f t="shared" si="12"/>
        <v>4</v>
      </c>
      <c r="X255">
        <f t="shared" si="13"/>
        <v>1</v>
      </c>
      <c r="Y255">
        <v>254</v>
      </c>
      <c r="Z255" s="4">
        <f t="shared" si="14"/>
        <v>248</v>
      </c>
    </row>
    <row r="256" spans="1:26" x14ac:dyDescent="0.2">
      <c r="A256" s="11">
        <v>53</v>
      </c>
      <c r="B256" s="4">
        <v>877</v>
      </c>
      <c r="C256" s="4">
        <v>2</v>
      </c>
      <c r="D256" s="4">
        <v>2</v>
      </c>
      <c r="E256" s="4">
        <v>1</v>
      </c>
      <c r="F256" s="4">
        <v>1</v>
      </c>
      <c r="G256" t="s">
        <v>243</v>
      </c>
      <c r="H256" s="4">
        <v>4</v>
      </c>
      <c r="I256" s="4">
        <v>6</v>
      </c>
      <c r="J256" s="4">
        <v>75</v>
      </c>
      <c r="K256" s="2">
        <v>66.6666666666666</v>
      </c>
      <c r="L256" s="2">
        <v>5.3333333333333304</v>
      </c>
      <c r="M256" s="2">
        <v>6.2073246430788299E-2</v>
      </c>
      <c r="N256" s="1">
        <v>7.1659756722869599E-6</v>
      </c>
      <c r="O256" s="2">
        <v>5.1447246705502403</v>
      </c>
      <c r="P256" s="2">
        <v>85.92</v>
      </c>
      <c r="Q256" s="3">
        <v>84.972216211528803</v>
      </c>
      <c r="R256" s="2">
        <v>3.71</v>
      </c>
      <c r="S256" s="2">
        <v>22.57</v>
      </c>
      <c r="T256" s="2">
        <v>1.47</v>
      </c>
      <c r="V256" s="4">
        <f t="shared" si="15"/>
        <v>123</v>
      </c>
      <c r="W256">
        <f t="shared" si="12"/>
        <v>4</v>
      </c>
      <c r="X256">
        <f t="shared" si="13"/>
        <v>1</v>
      </c>
      <c r="Y256">
        <v>255</v>
      </c>
      <c r="Z256" s="4">
        <f t="shared" si="14"/>
        <v>249</v>
      </c>
    </row>
    <row r="257" spans="1:26" x14ac:dyDescent="0.2">
      <c r="A257" s="11">
        <v>53</v>
      </c>
      <c r="B257" s="4">
        <v>877</v>
      </c>
      <c r="C257" s="4">
        <v>2</v>
      </c>
      <c r="D257" s="4">
        <v>2</v>
      </c>
      <c r="E257" s="4">
        <v>1</v>
      </c>
      <c r="F257" s="4">
        <v>2</v>
      </c>
      <c r="G257" t="s">
        <v>160</v>
      </c>
      <c r="H257" s="4">
        <v>4</v>
      </c>
      <c r="I257" s="4">
        <v>81</v>
      </c>
      <c r="J257" s="4">
        <v>6</v>
      </c>
      <c r="K257" s="2">
        <v>4.9382716049382704</v>
      </c>
      <c r="L257" s="2">
        <v>66.6666666666666</v>
      </c>
      <c r="M257" s="2">
        <v>2.33971437253114</v>
      </c>
      <c r="N257" s="1">
        <v>9.7799190620833608E-6</v>
      </c>
      <c r="O257" s="2">
        <v>5.0096647393878602</v>
      </c>
      <c r="P257" s="2">
        <v>28.493506493506398</v>
      </c>
      <c r="Q257" s="3">
        <v>78.313816054428102</v>
      </c>
      <c r="R257" s="2">
        <v>8.3800000000000008</v>
      </c>
      <c r="S257" s="2">
        <v>22.57</v>
      </c>
      <c r="T257" s="2">
        <v>1.47</v>
      </c>
      <c r="V257" s="4">
        <f t="shared" si="15"/>
        <v>123</v>
      </c>
      <c r="W257">
        <f t="shared" si="12"/>
        <v>4</v>
      </c>
      <c r="X257">
        <f t="shared" si="13"/>
        <v>1</v>
      </c>
      <c r="Y257">
        <v>256</v>
      </c>
      <c r="Z257" s="4">
        <f t="shared" si="14"/>
        <v>250</v>
      </c>
    </row>
    <row r="258" spans="1:26" x14ac:dyDescent="0.2">
      <c r="A258" s="11">
        <v>53</v>
      </c>
      <c r="B258" s="4">
        <v>1741</v>
      </c>
      <c r="C258" s="4">
        <v>2</v>
      </c>
      <c r="D258" s="4">
        <v>2</v>
      </c>
      <c r="E258" s="4">
        <v>1</v>
      </c>
      <c r="F258" s="4">
        <v>1</v>
      </c>
      <c r="G258" t="s">
        <v>244</v>
      </c>
      <c r="H258" s="4">
        <v>4</v>
      </c>
      <c r="I258" s="4">
        <v>8</v>
      </c>
      <c r="J258" s="4">
        <v>19</v>
      </c>
      <c r="K258" s="2">
        <v>50</v>
      </c>
      <c r="L258" s="2">
        <v>21.052631578947299</v>
      </c>
      <c r="M258" s="2">
        <v>0.12202562538132999</v>
      </c>
      <c r="N258" s="1">
        <v>1.08816542778021E-7</v>
      </c>
      <c r="O258" s="2">
        <v>6.9633050762271997</v>
      </c>
      <c r="P258" s="2">
        <v>172.52631578947299</v>
      </c>
      <c r="Q258" s="3">
        <v>260.891131566539</v>
      </c>
      <c r="R258" s="2">
        <v>3.86</v>
      </c>
      <c r="S258" s="2">
        <v>27.74</v>
      </c>
      <c r="T258" s="2">
        <v>1.81</v>
      </c>
      <c r="V258" s="4">
        <f t="shared" si="15"/>
        <v>124</v>
      </c>
      <c r="W258">
        <f t="shared" si="12"/>
        <v>4</v>
      </c>
      <c r="X258">
        <f t="shared" si="13"/>
        <v>1</v>
      </c>
      <c r="Y258">
        <v>257</v>
      </c>
      <c r="Z258" s="4">
        <f t="shared" si="14"/>
        <v>251</v>
      </c>
    </row>
    <row r="259" spans="1:26" x14ac:dyDescent="0.2">
      <c r="A259" s="11">
        <v>53</v>
      </c>
      <c r="B259" s="4">
        <v>1741</v>
      </c>
      <c r="C259" s="4">
        <v>2</v>
      </c>
      <c r="D259" s="4">
        <v>2</v>
      </c>
      <c r="E259" s="4">
        <v>1</v>
      </c>
      <c r="F259" s="4">
        <v>2</v>
      </c>
      <c r="G259" t="s">
        <v>245</v>
      </c>
      <c r="H259" s="4">
        <v>4</v>
      </c>
      <c r="I259" s="4">
        <v>19</v>
      </c>
      <c r="J259" s="4">
        <v>8</v>
      </c>
      <c r="K259" s="2">
        <v>21.052631578947299</v>
      </c>
      <c r="L259" s="2">
        <v>50</v>
      </c>
      <c r="M259" s="2">
        <v>0.45606567345697702</v>
      </c>
      <c r="N259" s="1">
        <v>1.08816542778021E-7</v>
      </c>
      <c r="O259" s="2">
        <v>6.9633050762271997</v>
      </c>
      <c r="P259" s="2">
        <v>109.633333333333</v>
      </c>
      <c r="Q259" s="3">
        <v>260.891131566539</v>
      </c>
      <c r="R259" s="2">
        <v>0.76</v>
      </c>
      <c r="S259" s="2">
        <v>27.74</v>
      </c>
      <c r="T259" s="2">
        <v>1.81</v>
      </c>
      <c r="V259" s="4">
        <f t="shared" si="15"/>
        <v>124</v>
      </c>
      <c r="W259">
        <f t="shared" ref="W259:W322" si="16">IF(AND(B259&lt;&gt;B258,D259&gt;2),W258+1,W258)</f>
        <v>4</v>
      </c>
      <c r="X259">
        <f t="shared" ref="X259:X322" si="17">IF(AND(B259&lt;&gt;B258,D259&gt;3),X258+1,X258)</f>
        <v>1</v>
      </c>
      <c r="Y259">
        <v>258</v>
      </c>
      <c r="Z259" s="4">
        <f t="shared" ref="Z259:Z322" si="18">IF(F259&lt;&gt;F258,Z258+1,Z258)</f>
        <v>252</v>
      </c>
    </row>
    <row r="260" spans="1:26" x14ac:dyDescent="0.2">
      <c r="A260" s="11">
        <v>54</v>
      </c>
      <c r="B260" s="4">
        <v>924</v>
      </c>
      <c r="C260" s="4">
        <v>2</v>
      </c>
      <c r="D260" s="4">
        <v>2</v>
      </c>
      <c r="E260" s="4">
        <v>1</v>
      </c>
      <c r="F260" s="4">
        <v>1</v>
      </c>
      <c r="G260" t="s">
        <v>246</v>
      </c>
      <c r="H260" s="4">
        <v>4</v>
      </c>
      <c r="I260" s="4">
        <v>17</v>
      </c>
      <c r="J260" s="4">
        <v>12</v>
      </c>
      <c r="K260" s="2">
        <v>23.529411764705799</v>
      </c>
      <c r="L260" s="2">
        <v>33.3333333333333</v>
      </c>
      <c r="M260" s="2">
        <v>0.39573820395738202</v>
      </c>
      <c r="N260" s="1">
        <v>4.6745892513130403E-7</v>
      </c>
      <c r="O260" s="2">
        <v>6.3302565438770602</v>
      </c>
      <c r="P260" s="2">
        <v>84.230769230769198</v>
      </c>
      <c r="Q260" s="3">
        <v>192.73514932821101</v>
      </c>
      <c r="R260" s="2">
        <v>1.7</v>
      </c>
      <c r="S260" s="2">
        <v>23.08</v>
      </c>
      <c r="T260" s="2">
        <v>1.5</v>
      </c>
      <c r="V260" s="4">
        <f t="shared" ref="V260:V323" si="19">IF(F260=1,V259+1,V259)</f>
        <v>125</v>
      </c>
      <c r="W260">
        <f t="shared" si="16"/>
        <v>4</v>
      </c>
      <c r="X260">
        <f t="shared" si="17"/>
        <v>1</v>
      </c>
      <c r="Y260">
        <v>259</v>
      </c>
      <c r="Z260" s="4">
        <f t="shared" si="18"/>
        <v>253</v>
      </c>
    </row>
    <row r="261" spans="1:26" x14ac:dyDescent="0.2">
      <c r="A261" s="11">
        <v>54</v>
      </c>
      <c r="B261" s="4">
        <v>924</v>
      </c>
      <c r="C261" s="4">
        <v>2</v>
      </c>
      <c r="D261" s="4">
        <v>2</v>
      </c>
      <c r="E261" s="4">
        <v>1</v>
      </c>
      <c r="F261" s="4">
        <v>2</v>
      </c>
      <c r="G261" t="s">
        <v>247</v>
      </c>
      <c r="H261" s="4">
        <v>4</v>
      </c>
      <c r="I261" s="4">
        <v>12</v>
      </c>
      <c r="J261" s="4">
        <v>17</v>
      </c>
      <c r="K261" s="2">
        <v>33.3333333333333</v>
      </c>
      <c r="L261" s="2">
        <v>23.529411764705799</v>
      </c>
      <c r="M261" s="2">
        <v>0.24390243902438999</v>
      </c>
      <c r="N261" s="1">
        <v>4.6745892513130403E-7</v>
      </c>
      <c r="O261" s="2">
        <v>6.3302565438770602</v>
      </c>
      <c r="P261" s="2">
        <v>96.470588235294102</v>
      </c>
      <c r="Q261" s="3">
        <v>192.73514932821101</v>
      </c>
      <c r="R261" s="2">
        <v>0.78</v>
      </c>
      <c r="S261" s="2">
        <v>23.08</v>
      </c>
      <c r="T261" s="2">
        <v>1.5</v>
      </c>
      <c r="V261" s="4">
        <f t="shared" si="19"/>
        <v>125</v>
      </c>
      <c r="W261">
        <f t="shared" si="16"/>
        <v>4</v>
      </c>
      <c r="X261">
        <f t="shared" si="17"/>
        <v>1</v>
      </c>
      <c r="Y261">
        <v>260</v>
      </c>
      <c r="Z261" s="4">
        <f t="shared" si="18"/>
        <v>254</v>
      </c>
    </row>
    <row r="262" spans="1:26" x14ac:dyDescent="0.2">
      <c r="A262" s="11">
        <v>54</v>
      </c>
      <c r="B262" s="4">
        <v>1742</v>
      </c>
      <c r="C262" s="4">
        <v>2</v>
      </c>
      <c r="D262" s="4">
        <v>2</v>
      </c>
      <c r="E262" s="4">
        <v>1</v>
      </c>
      <c r="F262" s="4">
        <v>1</v>
      </c>
      <c r="G262" t="s">
        <v>248</v>
      </c>
      <c r="H262" s="4">
        <v>4</v>
      </c>
      <c r="I262" s="4">
        <v>10</v>
      </c>
      <c r="J262" s="4">
        <v>42</v>
      </c>
      <c r="K262" s="2">
        <v>40</v>
      </c>
      <c r="L262" s="2">
        <v>9.5238095238095202</v>
      </c>
      <c r="M262" s="2">
        <v>0.18433179723502299</v>
      </c>
      <c r="N262" s="1">
        <v>9.0482128471252403E-6</v>
      </c>
      <c r="O262" s="2">
        <v>5.0434371917646601</v>
      </c>
      <c r="P262" s="2">
        <v>51.6666666666666</v>
      </c>
      <c r="Q262" s="3">
        <v>90.717166771347493</v>
      </c>
      <c r="R262" s="2">
        <v>0.65</v>
      </c>
      <c r="S262" s="2">
        <v>22.36</v>
      </c>
      <c r="T262" s="2">
        <v>1.46</v>
      </c>
      <c r="V262" s="4">
        <f t="shared" si="19"/>
        <v>126</v>
      </c>
      <c r="W262">
        <f t="shared" si="16"/>
        <v>4</v>
      </c>
      <c r="X262">
        <f t="shared" si="17"/>
        <v>1</v>
      </c>
      <c r="Y262">
        <v>261</v>
      </c>
      <c r="Z262" s="4">
        <f t="shared" si="18"/>
        <v>255</v>
      </c>
    </row>
    <row r="263" spans="1:26" x14ac:dyDescent="0.2">
      <c r="A263" s="11">
        <v>54</v>
      </c>
      <c r="B263" s="4">
        <v>1742</v>
      </c>
      <c r="C263" s="4">
        <v>2</v>
      </c>
      <c r="D263" s="4">
        <v>2</v>
      </c>
      <c r="E263" s="4">
        <v>1</v>
      </c>
      <c r="F263" s="4">
        <v>2</v>
      </c>
      <c r="G263" t="s">
        <v>63</v>
      </c>
      <c r="H263" s="4">
        <v>4</v>
      </c>
      <c r="I263" s="4">
        <v>44</v>
      </c>
      <c r="J263" s="4">
        <v>9</v>
      </c>
      <c r="K263" s="2">
        <v>9.0909090909090899</v>
      </c>
      <c r="L263" s="2">
        <v>44.4444444444444</v>
      </c>
      <c r="M263" s="2">
        <v>1.21654501216545</v>
      </c>
      <c r="N263" s="1">
        <v>6.6293616810830404E-6</v>
      </c>
      <c r="O263" s="2">
        <v>5.1785282863356601</v>
      </c>
      <c r="P263" s="2">
        <v>36.533333333333303</v>
      </c>
      <c r="Q263" s="3">
        <v>96.660964407809601</v>
      </c>
      <c r="R263" s="2">
        <v>27.67</v>
      </c>
      <c r="S263" s="2">
        <v>22.36</v>
      </c>
      <c r="T263" s="2">
        <v>1.46</v>
      </c>
      <c r="V263" s="4">
        <f t="shared" si="19"/>
        <v>126</v>
      </c>
      <c r="W263">
        <f t="shared" si="16"/>
        <v>4</v>
      </c>
      <c r="X263">
        <f t="shared" si="17"/>
        <v>1</v>
      </c>
      <c r="Y263">
        <v>262</v>
      </c>
      <c r="Z263" s="4">
        <f t="shared" si="18"/>
        <v>256</v>
      </c>
    </row>
    <row r="264" spans="1:26" x14ac:dyDescent="0.2">
      <c r="A264" s="11">
        <v>54</v>
      </c>
      <c r="B264" s="4">
        <v>1858</v>
      </c>
      <c r="C264" s="4">
        <v>2</v>
      </c>
      <c r="D264" s="4">
        <v>2</v>
      </c>
      <c r="E264" s="4">
        <v>1</v>
      </c>
      <c r="F264" s="4">
        <v>1</v>
      </c>
      <c r="G264" t="s">
        <v>220</v>
      </c>
      <c r="H264" s="4">
        <v>5</v>
      </c>
      <c r="I264" s="4">
        <v>46</v>
      </c>
      <c r="J264" s="4">
        <v>16</v>
      </c>
      <c r="K264" s="2">
        <v>10.869565217391299</v>
      </c>
      <c r="L264" s="2">
        <v>31.25</v>
      </c>
      <c r="M264" s="2">
        <v>1.2496190185918901</v>
      </c>
      <c r="N264" s="1">
        <v>3.29872819119032E-6</v>
      </c>
      <c r="O264" s="2">
        <v>5.4816534680040299</v>
      </c>
      <c r="P264" s="2">
        <v>25.007621951219502</v>
      </c>
      <c r="Q264" s="3">
        <v>83.500092908992002</v>
      </c>
      <c r="R264" s="2">
        <v>0.33</v>
      </c>
      <c r="S264" s="2">
        <v>21.3</v>
      </c>
      <c r="T264" s="2">
        <v>1.39</v>
      </c>
      <c r="V264" s="4">
        <f t="shared" si="19"/>
        <v>127</v>
      </c>
      <c r="W264">
        <f t="shared" si="16"/>
        <v>4</v>
      </c>
      <c r="X264">
        <f t="shared" si="17"/>
        <v>1</v>
      </c>
      <c r="Y264">
        <v>263</v>
      </c>
      <c r="Z264" s="4">
        <f t="shared" si="18"/>
        <v>257</v>
      </c>
    </row>
    <row r="265" spans="1:26" x14ac:dyDescent="0.2">
      <c r="A265" s="11">
        <v>54</v>
      </c>
      <c r="B265" s="4">
        <v>1858</v>
      </c>
      <c r="C265" s="4">
        <v>2</v>
      </c>
      <c r="D265" s="4">
        <v>2</v>
      </c>
      <c r="E265" s="4">
        <v>1</v>
      </c>
      <c r="F265" s="4">
        <v>2</v>
      </c>
      <c r="G265" t="s">
        <v>249</v>
      </c>
      <c r="H265" s="4">
        <v>5</v>
      </c>
      <c r="I265" s="4">
        <v>17</v>
      </c>
      <c r="J265" s="4">
        <v>45</v>
      </c>
      <c r="K265" s="2">
        <v>29.411764705882302</v>
      </c>
      <c r="L265" s="2">
        <v>11.1111111111111</v>
      </c>
      <c r="M265" s="2">
        <v>0.36900369003689998</v>
      </c>
      <c r="N265" s="1">
        <v>4.13467967360176E-6</v>
      </c>
      <c r="O265" s="2">
        <v>5.3835581309423599</v>
      </c>
      <c r="P265" s="2">
        <v>30.1111111111111</v>
      </c>
      <c r="Q265" s="3">
        <v>80.004409000983301</v>
      </c>
      <c r="R265" s="2">
        <v>0.47</v>
      </c>
      <c r="S265" s="2">
        <v>21.3</v>
      </c>
      <c r="T265" s="2">
        <v>1.39</v>
      </c>
      <c r="V265" s="4">
        <f t="shared" si="19"/>
        <v>127</v>
      </c>
      <c r="W265">
        <f t="shared" si="16"/>
        <v>4</v>
      </c>
      <c r="X265">
        <f t="shared" si="17"/>
        <v>1</v>
      </c>
      <c r="Y265">
        <v>264</v>
      </c>
      <c r="Z265" s="4">
        <f t="shared" si="18"/>
        <v>258</v>
      </c>
    </row>
    <row r="266" spans="1:26" x14ac:dyDescent="0.2">
      <c r="A266" s="11">
        <v>55</v>
      </c>
      <c r="B266" s="4">
        <v>131</v>
      </c>
      <c r="C266" s="4">
        <v>2</v>
      </c>
      <c r="D266" s="4">
        <v>2</v>
      </c>
      <c r="E266" s="4">
        <v>1</v>
      </c>
      <c r="F266" s="4">
        <v>1</v>
      </c>
      <c r="G266" t="s">
        <v>250</v>
      </c>
      <c r="H266" s="4">
        <v>6</v>
      </c>
      <c r="I266" s="4">
        <v>12</v>
      </c>
      <c r="J266" s="4">
        <v>106</v>
      </c>
      <c r="K266" s="2">
        <v>50</v>
      </c>
      <c r="L266" s="2">
        <v>5.6603773584905603</v>
      </c>
      <c r="M266" s="2">
        <v>0.18802883108743301</v>
      </c>
      <c r="N266" s="1">
        <v>1.51543542302661E-6</v>
      </c>
      <c r="O266" s="2">
        <v>5.81946256541364</v>
      </c>
      <c r="P266" s="2">
        <v>30.1037735849056</v>
      </c>
      <c r="Q266" s="3">
        <v>70.301092069632503</v>
      </c>
      <c r="R266" s="2">
        <v>0.88</v>
      </c>
      <c r="S266" s="2">
        <v>22.06</v>
      </c>
      <c r="T266" s="2">
        <v>1.44</v>
      </c>
      <c r="V266" s="4">
        <f t="shared" si="19"/>
        <v>128</v>
      </c>
      <c r="W266">
        <f t="shared" si="16"/>
        <v>4</v>
      </c>
      <c r="X266">
        <f t="shared" si="17"/>
        <v>1</v>
      </c>
      <c r="Y266">
        <v>265</v>
      </c>
      <c r="Z266" s="4">
        <f t="shared" si="18"/>
        <v>259</v>
      </c>
    </row>
    <row r="267" spans="1:26" x14ac:dyDescent="0.2">
      <c r="A267" s="11">
        <v>55</v>
      </c>
      <c r="B267" s="4">
        <v>131</v>
      </c>
      <c r="C267" s="4">
        <v>2</v>
      </c>
      <c r="D267" s="4">
        <v>2</v>
      </c>
      <c r="E267" s="4">
        <v>1</v>
      </c>
      <c r="F267" s="4">
        <v>2</v>
      </c>
      <c r="G267" t="s">
        <v>114</v>
      </c>
      <c r="H267" s="4">
        <v>6</v>
      </c>
      <c r="I267" s="4">
        <v>109</v>
      </c>
      <c r="J267" s="4">
        <v>12</v>
      </c>
      <c r="K267" s="2">
        <v>5.5045871559632999</v>
      </c>
      <c r="L267" s="2">
        <v>50</v>
      </c>
      <c r="M267" s="2">
        <v>3.1354642313546401</v>
      </c>
      <c r="N267" s="1">
        <v>1.7903012787829401E-6</v>
      </c>
      <c r="O267" s="2">
        <v>5.7470738781246302</v>
      </c>
      <c r="P267" s="2">
        <v>15.946601941747501</v>
      </c>
      <c r="Q267" s="3">
        <v>68.138642085521894</v>
      </c>
      <c r="R267" s="2">
        <v>6.05</v>
      </c>
      <c r="S267" s="2">
        <v>22.06</v>
      </c>
      <c r="T267" s="2">
        <v>1.44</v>
      </c>
      <c r="V267" s="4">
        <f t="shared" si="19"/>
        <v>128</v>
      </c>
      <c r="W267">
        <f t="shared" si="16"/>
        <v>4</v>
      </c>
      <c r="X267">
        <f t="shared" si="17"/>
        <v>1</v>
      </c>
      <c r="Y267">
        <v>266</v>
      </c>
      <c r="Z267" s="4">
        <f t="shared" si="18"/>
        <v>260</v>
      </c>
    </row>
    <row r="268" spans="1:26" x14ac:dyDescent="0.2">
      <c r="A268" s="11">
        <v>55</v>
      </c>
      <c r="B268" s="4">
        <v>168</v>
      </c>
      <c r="C268" s="4">
        <v>2</v>
      </c>
      <c r="D268" s="4">
        <v>2</v>
      </c>
      <c r="E268" s="4">
        <v>1</v>
      </c>
      <c r="F268" s="4">
        <v>1</v>
      </c>
      <c r="G268" t="s">
        <v>251</v>
      </c>
      <c r="H268" s="4">
        <v>6</v>
      </c>
      <c r="I268" s="4">
        <v>12</v>
      </c>
      <c r="J268" s="4">
        <v>142</v>
      </c>
      <c r="K268" s="2">
        <v>50</v>
      </c>
      <c r="L268" s="2">
        <v>4.2253521126760498</v>
      </c>
      <c r="M268" s="2">
        <v>0.190174326465927</v>
      </c>
      <c r="N268" s="1">
        <v>8.5775448552919496E-6</v>
      </c>
      <c r="O268" s="2">
        <v>5.0666370021724196</v>
      </c>
      <c r="P268" s="2">
        <v>22.2183098591549</v>
      </c>
      <c r="Q268" s="3">
        <v>50.392199267124298</v>
      </c>
      <c r="R268" s="2">
        <v>0.32</v>
      </c>
      <c r="S268" s="2">
        <v>21.68</v>
      </c>
      <c r="T268" s="2">
        <v>1.41</v>
      </c>
      <c r="V268" s="4">
        <f t="shared" si="19"/>
        <v>129</v>
      </c>
      <c r="W268">
        <f t="shared" si="16"/>
        <v>4</v>
      </c>
      <c r="X268">
        <f t="shared" si="17"/>
        <v>1</v>
      </c>
      <c r="Y268">
        <v>267</v>
      </c>
      <c r="Z268" s="4">
        <f t="shared" si="18"/>
        <v>261</v>
      </c>
    </row>
    <row r="269" spans="1:26" x14ac:dyDescent="0.2">
      <c r="A269" s="11">
        <v>55</v>
      </c>
      <c r="B269" s="4">
        <v>168</v>
      </c>
      <c r="C269" s="4">
        <v>2</v>
      </c>
      <c r="D269" s="4">
        <v>2</v>
      </c>
      <c r="E269" s="4">
        <v>1</v>
      </c>
      <c r="F269" s="4">
        <v>2</v>
      </c>
      <c r="G269" t="s">
        <v>198</v>
      </c>
      <c r="H269" s="4">
        <v>6</v>
      </c>
      <c r="I269" s="4">
        <v>145</v>
      </c>
      <c r="J269" s="4">
        <v>12</v>
      </c>
      <c r="K269" s="2">
        <v>4.13793103448275</v>
      </c>
      <c r="L269" s="2">
        <v>50</v>
      </c>
      <c r="M269" s="2">
        <v>4.2313546423135397</v>
      </c>
      <c r="N269" s="1">
        <v>9.6986346501064897E-6</v>
      </c>
      <c r="O269" s="2">
        <v>5.01328940033794</v>
      </c>
      <c r="P269" s="2">
        <v>11.816546762589899</v>
      </c>
      <c r="Q269" s="3">
        <v>49.180335396365201</v>
      </c>
      <c r="R269" s="2">
        <v>37.03</v>
      </c>
      <c r="S269" s="2">
        <v>21.68</v>
      </c>
      <c r="T269" s="2">
        <v>1.41</v>
      </c>
      <c r="V269" s="4">
        <f t="shared" si="19"/>
        <v>129</v>
      </c>
      <c r="W269">
        <f t="shared" si="16"/>
        <v>4</v>
      </c>
      <c r="X269">
        <f t="shared" si="17"/>
        <v>1</v>
      </c>
      <c r="Y269">
        <v>268</v>
      </c>
      <c r="Z269" s="4">
        <f t="shared" si="18"/>
        <v>262</v>
      </c>
    </row>
    <row r="270" spans="1:26" x14ac:dyDescent="0.2">
      <c r="A270" s="11">
        <v>55</v>
      </c>
      <c r="B270" s="4">
        <v>211</v>
      </c>
      <c r="C270" s="4">
        <v>2</v>
      </c>
      <c r="D270" s="4">
        <v>2</v>
      </c>
      <c r="E270" s="4">
        <v>1</v>
      </c>
      <c r="F270" s="4">
        <v>1</v>
      </c>
      <c r="G270" t="s">
        <v>252</v>
      </c>
      <c r="H270" s="4">
        <v>4</v>
      </c>
      <c r="I270" s="4">
        <v>24</v>
      </c>
      <c r="J270" s="4">
        <v>14</v>
      </c>
      <c r="K270" s="2">
        <v>16.6666666666666</v>
      </c>
      <c r="L270" s="2">
        <v>28.571428571428498</v>
      </c>
      <c r="M270" s="2">
        <v>0.60919890344197303</v>
      </c>
      <c r="N270" s="1">
        <v>4.1228966163984498E-6</v>
      </c>
      <c r="O270" s="2">
        <v>5.3847975552036296</v>
      </c>
      <c r="P270" s="2">
        <v>46.9</v>
      </c>
      <c r="Q270" s="3">
        <v>114.622590316634</v>
      </c>
      <c r="R270" s="2">
        <v>0.67</v>
      </c>
      <c r="S270" s="2">
        <v>25.22</v>
      </c>
      <c r="T270" s="2">
        <v>1.64</v>
      </c>
      <c r="V270" s="4">
        <f t="shared" si="19"/>
        <v>130</v>
      </c>
      <c r="W270">
        <f t="shared" si="16"/>
        <v>4</v>
      </c>
      <c r="X270">
        <f t="shared" si="17"/>
        <v>1</v>
      </c>
      <c r="Y270">
        <v>269</v>
      </c>
      <c r="Z270" s="4">
        <f t="shared" si="18"/>
        <v>263</v>
      </c>
    </row>
    <row r="271" spans="1:26" x14ac:dyDescent="0.2">
      <c r="A271" s="11">
        <v>55</v>
      </c>
      <c r="B271" s="4">
        <v>211</v>
      </c>
      <c r="C271" s="4">
        <v>2</v>
      </c>
      <c r="D271" s="4">
        <v>2</v>
      </c>
      <c r="E271" s="4">
        <v>1</v>
      </c>
      <c r="F271" s="4">
        <v>2</v>
      </c>
      <c r="G271" t="s">
        <v>253</v>
      </c>
      <c r="H271" s="4">
        <v>4</v>
      </c>
      <c r="I271" s="4">
        <v>14</v>
      </c>
      <c r="J271" s="4">
        <v>22</v>
      </c>
      <c r="K271" s="2">
        <v>28.571428571428498</v>
      </c>
      <c r="L271" s="2">
        <v>18.181818181818102</v>
      </c>
      <c r="M271" s="2">
        <v>0.30534351145038102</v>
      </c>
      <c r="N271" s="1">
        <v>2.8521055105651299E-6</v>
      </c>
      <c r="O271" s="2">
        <v>5.5448344122673499</v>
      </c>
      <c r="P271" s="2">
        <v>59.545454545454497</v>
      </c>
      <c r="Q271" s="3">
        <v>125.591881441163</v>
      </c>
      <c r="R271" s="2">
        <v>0.52</v>
      </c>
      <c r="S271" s="2">
        <v>25.22</v>
      </c>
      <c r="T271" s="2">
        <v>1.64</v>
      </c>
      <c r="V271" s="4">
        <f t="shared" si="19"/>
        <v>130</v>
      </c>
      <c r="W271">
        <f t="shared" si="16"/>
        <v>4</v>
      </c>
      <c r="X271">
        <f t="shared" si="17"/>
        <v>1</v>
      </c>
      <c r="Y271">
        <v>270</v>
      </c>
      <c r="Z271" s="4">
        <f t="shared" si="18"/>
        <v>264</v>
      </c>
    </row>
    <row r="272" spans="1:26" x14ac:dyDescent="0.2">
      <c r="A272" s="11">
        <v>55</v>
      </c>
      <c r="B272" s="4">
        <v>464</v>
      </c>
      <c r="C272" s="4">
        <v>2</v>
      </c>
      <c r="D272" s="4">
        <v>2</v>
      </c>
      <c r="E272" s="4">
        <v>1</v>
      </c>
      <c r="F272" s="4">
        <v>1</v>
      </c>
      <c r="G272" t="s">
        <v>110</v>
      </c>
      <c r="H272" s="4">
        <v>5</v>
      </c>
      <c r="I272" s="4">
        <v>10</v>
      </c>
      <c r="J272" s="4">
        <v>72</v>
      </c>
      <c r="K272" s="2">
        <v>50</v>
      </c>
      <c r="L272" s="2">
        <v>6.9444444444444402</v>
      </c>
      <c r="M272" s="2">
        <v>0.15503875968992201</v>
      </c>
      <c r="N272" s="1">
        <v>2.00020014363052E-6</v>
      </c>
      <c r="O272" s="2">
        <v>5.6989265458732996</v>
      </c>
      <c r="P272" s="2">
        <v>44.7916666666666</v>
      </c>
      <c r="Q272" s="3">
        <v>86.081751030309604</v>
      </c>
      <c r="R272" s="2">
        <v>0.7</v>
      </c>
      <c r="S272" s="2">
        <v>22.82</v>
      </c>
      <c r="T272" s="2">
        <v>1.49</v>
      </c>
      <c r="V272" s="4">
        <f t="shared" si="19"/>
        <v>131</v>
      </c>
      <c r="W272">
        <f t="shared" si="16"/>
        <v>4</v>
      </c>
      <c r="X272">
        <f t="shared" si="17"/>
        <v>1</v>
      </c>
      <c r="Y272">
        <v>271</v>
      </c>
      <c r="Z272" s="4">
        <f t="shared" si="18"/>
        <v>265</v>
      </c>
    </row>
    <row r="273" spans="1:26" x14ac:dyDescent="0.2">
      <c r="A273" s="11">
        <v>55</v>
      </c>
      <c r="B273" s="4">
        <v>464</v>
      </c>
      <c r="C273" s="4">
        <v>2</v>
      </c>
      <c r="D273" s="4">
        <v>2</v>
      </c>
      <c r="E273" s="4">
        <v>1</v>
      </c>
      <c r="F273" s="4">
        <v>2</v>
      </c>
      <c r="G273" t="s">
        <v>254</v>
      </c>
      <c r="H273" s="4">
        <v>5</v>
      </c>
      <c r="I273" s="4">
        <v>74</v>
      </c>
      <c r="J273" s="4">
        <v>10</v>
      </c>
      <c r="K273" s="2">
        <v>6.7567567567567499</v>
      </c>
      <c r="L273" s="2">
        <v>50</v>
      </c>
      <c r="M273" s="2">
        <v>2.09917858229388</v>
      </c>
      <c r="N273" s="1">
        <v>2.2969583014731802E-6</v>
      </c>
      <c r="O273" s="2">
        <v>5.6388468888295602</v>
      </c>
      <c r="P273" s="2">
        <v>23.818840579710098</v>
      </c>
      <c r="Q273" s="3">
        <v>83.569885892388598</v>
      </c>
      <c r="R273" s="2">
        <v>999</v>
      </c>
      <c r="S273" s="2">
        <v>22.82</v>
      </c>
      <c r="T273" s="2">
        <v>1.49</v>
      </c>
      <c r="V273" s="4">
        <f t="shared" si="19"/>
        <v>131</v>
      </c>
      <c r="W273">
        <f t="shared" si="16"/>
        <v>4</v>
      </c>
      <c r="X273">
        <f t="shared" si="17"/>
        <v>1</v>
      </c>
      <c r="Y273">
        <v>272</v>
      </c>
      <c r="Z273" s="4">
        <f t="shared" si="18"/>
        <v>266</v>
      </c>
    </row>
    <row r="274" spans="1:26" x14ac:dyDescent="0.2">
      <c r="A274" s="11">
        <v>56</v>
      </c>
      <c r="B274" s="4">
        <v>402</v>
      </c>
      <c r="C274" s="4">
        <v>2</v>
      </c>
      <c r="D274" s="4">
        <v>2</v>
      </c>
      <c r="E274" s="4">
        <v>1</v>
      </c>
      <c r="F274" s="4">
        <v>1</v>
      </c>
      <c r="G274" t="s">
        <v>255</v>
      </c>
      <c r="H274" s="4">
        <v>10</v>
      </c>
      <c r="I274" s="4">
        <v>62</v>
      </c>
      <c r="J274" s="4">
        <v>80</v>
      </c>
      <c r="K274" s="2">
        <v>16.129032258064498</v>
      </c>
      <c r="L274" s="2">
        <v>12.5</v>
      </c>
      <c r="M274" s="2">
        <v>1.6164128069629999</v>
      </c>
      <c r="N274" s="1">
        <v>3.0966868543062201E-6</v>
      </c>
      <c r="O274" s="2">
        <v>5.5091027095036598</v>
      </c>
      <c r="P274" s="2">
        <v>7.7331730769230704</v>
      </c>
      <c r="Q274" s="3">
        <v>44.386628846407703</v>
      </c>
      <c r="R274" s="2">
        <v>6.24</v>
      </c>
      <c r="S274" s="2">
        <v>21.73</v>
      </c>
      <c r="T274" s="2">
        <v>1.42</v>
      </c>
      <c r="V274" s="4">
        <f t="shared" si="19"/>
        <v>132</v>
      </c>
      <c r="W274">
        <f t="shared" si="16"/>
        <v>4</v>
      </c>
      <c r="X274">
        <f t="shared" si="17"/>
        <v>1</v>
      </c>
      <c r="Y274">
        <v>273</v>
      </c>
      <c r="Z274" s="4">
        <f t="shared" si="18"/>
        <v>267</v>
      </c>
    </row>
    <row r="275" spans="1:26" x14ac:dyDescent="0.2">
      <c r="A275" s="11">
        <v>56</v>
      </c>
      <c r="B275" s="4">
        <v>402</v>
      </c>
      <c r="C275" s="4">
        <v>2</v>
      </c>
      <c r="D275" s="4">
        <v>2</v>
      </c>
      <c r="E275" s="4">
        <v>1</v>
      </c>
      <c r="F275" s="4">
        <v>2</v>
      </c>
      <c r="G275" t="s">
        <v>256</v>
      </c>
      <c r="H275" s="4">
        <v>10</v>
      </c>
      <c r="I275" s="4">
        <v>80</v>
      </c>
      <c r="J275" s="4">
        <v>62</v>
      </c>
      <c r="K275" s="2">
        <v>12.5</v>
      </c>
      <c r="L275" s="2">
        <v>16.129032258064498</v>
      </c>
      <c r="M275" s="2">
        <v>2.16383307573415</v>
      </c>
      <c r="N275" s="1">
        <v>3.0966868543062201E-6</v>
      </c>
      <c r="O275" s="2">
        <v>5.5091027095036598</v>
      </c>
      <c r="P275" s="2">
        <v>7.4539170506912402</v>
      </c>
      <c r="Q275" s="3">
        <v>44.386628846407703</v>
      </c>
      <c r="R275" s="2">
        <v>3.03</v>
      </c>
      <c r="S275" s="2">
        <v>21.73</v>
      </c>
      <c r="T275" s="2">
        <v>1.42</v>
      </c>
      <c r="V275" s="4">
        <f t="shared" si="19"/>
        <v>132</v>
      </c>
      <c r="W275">
        <f t="shared" si="16"/>
        <v>4</v>
      </c>
      <c r="X275">
        <f t="shared" si="17"/>
        <v>1</v>
      </c>
      <c r="Y275">
        <v>274</v>
      </c>
      <c r="Z275" s="4">
        <f t="shared" si="18"/>
        <v>268</v>
      </c>
    </row>
    <row r="276" spans="1:26" x14ac:dyDescent="0.2">
      <c r="A276" s="11">
        <v>56</v>
      </c>
      <c r="B276" s="4">
        <v>538</v>
      </c>
      <c r="C276" s="4">
        <v>2</v>
      </c>
      <c r="D276" s="4">
        <v>2</v>
      </c>
      <c r="E276" s="4">
        <v>1</v>
      </c>
      <c r="F276" s="4">
        <v>1</v>
      </c>
      <c r="G276" t="s">
        <v>216</v>
      </c>
      <c r="H276" s="4">
        <v>4</v>
      </c>
      <c r="I276" s="4">
        <v>64</v>
      </c>
      <c r="J276" s="4">
        <v>7</v>
      </c>
      <c r="K276" s="2">
        <v>6.25</v>
      </c>
      <c r="L276" s="2">
        <v>57.142857142857103</v>
      </c>
      <c r="M276" s="2">
        <v>1.8237082066869299</v>
      </c>
      <c r="N276" s="1">
        <v>8.6602587839766595E-6</v>
      </c>
      <c r="O276" s="2">
        <v>5.0624691302951401</v>
      </c>
      <c r="P276" s="2">
        <v>31.3333333333333</v>
      </c>
      <c r="Q276" s="3">
        <v>85.117703489221</v>
      </c>
      <c r="R276" s="2">
        <v>24.27</v>
      </c>
      <c r="S276" s="2">
        <v>22.27</v>
      </c>
      <c r="T276" s="2">
        <v>1.45</v>
      </c>
      <c r="V276" s="4">
        <f t="shared" si="19"/>
        <v>133</v>
      </c>
      <c r="W276">
        <f t="shared" si="16"/>
        <v>4</v>
      </c>
      <c r="X276">
        <f t="shared" si="17"/>
        <v>1</v>
      </c>
      <c r="Y276">
        <v>275</v>
      </c>
      <c r="Z276" s="4">
        <f t="shared" si="18"/>
        <v>269</v>
      </c>
    </row>
    <row r="277" spans="1:26" x14ac:dyDescent="0.2">
      <c r="A277" s="11">
        <v>56</v>
      </c>
      <c r="B277" s="4">
        <v>538</v>
      </c>
      <c r="C277" s="4">
        <v>2</v>
      </c>
      <c r="D277" s="4">
        <v>2</v>
      </c>
      <c r="E277" s="4">
        <v>1</v>
      </c>
      <c r="F277" s="4">
        <v>2</v>
      </c>
      <c r="G277" t="s">
        <v>257</v>
      </c>
      <c r="H277" s="4">
        <v>4</v>
      </c>
      <c r="I277" s="4">
        <v>7</v>
      </c>
      <c r="J277" s="4">
        <v>64</v>
      </c>
      <c r="K277" s="2">
        <v>57.142857142857103</v>
      </c>
      <c r="L277" s="2">
        <v>6.25</v>
      </c>
      <c r="M277" s="2">
        <v>9.2793071450664996E-2</v>
      </c>
      <c r="N277" s="1">
        <v>8.6602587839766696E-6</v>
      </c>
      <c r="O277" s="2">
        <v>5.0624691302951303</v>
      </c>
      <c r="P277" s="2">
        <v>67.3541666666666</v>
      </c>
      <c r="Q277" s="3">
        <v>85.117703489221</v>
      </c>
      <c r="R277" s="2">
        <v>4.68</v>
      </c>
      <c r="S277" s="2">
        <v>22.27</v>
      </c>
      <c r="T277" s="2">
        <v>1.45</v>
      </c>
      <c r="V277" s="4">
        <f t="shared" si="19"/>
        <v>133</v>
      </c>
      <c r="W277">
        <f t="shared" si="16"/>
        <v>4</v>
      </c>
      <c r="X277">
        <f t="shared" si="17"/>
        <v>1</v>
      </c>
      <c r="Y277">
        <v>276</v>
      </c>
      <c r="Z277" s="4">
        <f t="shared" si="18"/>
        <v>270</v>
      </c>
    </row>
    <row r="278" spans="1:26" x14ac:dyDescent="0.2">
      <c r="A278" s="11">
        <v>56</v>
      </c>
      <c r="B278" s="4">
        <v>1310</v>
      </c>
      <c r="C278" s="4">
        <v>2</v>
      </c>
      <c r="D278" s="4">
        <v>2</v>
      </c>
      <c r="E278" s="4">
        <v>1</v>
      </c>
      <c r="F278" s="4">
        <v>1</v>
      </c>
      <c r="G278" t="s">
        <v>37</v>
      </c>
      <c r="H278" s="4">
        <v>5</v>
      </c>
      <c r="I278" s="4">
        <v>60</v>
      </c>
      <c r="J278" s="4">
        <v>14</v>
      </c>
      <c r="K278" s="2">
        <v>8.3333333333333304</v>
      </c>
      <c r="L278" s="2">
        <v>35.714285714285701</v>
      </c>
      <c r="M278" s="2">
        <v>1.67529698446542</v>
      </c>
      <c r="N278" s="1">
        <v>5.9558358905377102E-6</v>
      </c>
      <c r="O278" s="2">
        <v>5.2250572774772497</v>
      </c>
      <c r="P278" s="2">
        <v>21.318181818181799</v>
      </c>
      <c r="Q278" s="3">
        <v>72.354404904347504</v>
      </c>
      <c r="R278" s="2">
        <v>0.4</v>
      </c>
      <c r="S278" s="2">
        <v>23.67</v>
      </c>
      <c r="T278" s="2">
        <v>1.54</v>
      </c>
      <c r="V278" s="4">
        <f t="shared" si="19"/>
        <v>134</v>
      </c>
      <c r="W278">
        <f t="shared" si="16"/>
        <v>4</v>
      </c>
      <c r="X278">
        <f t="shared" si="17"/>
        <v>1</v>
      </c>
      <c r="Y278">
        <v>277</v>
      </c>
      <c r="Z278" s="4">
        <f t="shared" si="18"/>
        <v>271</v>
      </c>
    </row>
    <row r="279" spans="1:26" x14ac:dyDescent="0.2">
      <c r="A279" s="11">
        <v>56</v>
      </c>
      <c r="B279" s="4">
        <v>1310</v>
      </c>
      <c r="C279" s="4">
        <v>2</v>
      </c>
      <c r="D279" s="4">
        <v>2</v>
      </c>
      <c r="E279" s="4">
        <v>1</v>
      </c>
      <c r="F279" s="4">
        <v>2</v>
      </c>
      <c r="G279" t="s">
        <v>258</v>
      </c>
      <c r="H279" s="4">
        <v>5</v>
      </c>
      <c r="I279" s="4">
        <v>15</v>
      </c>
      <c r="J279" s="4">
        <v>58</v>
      </c>
      <c r="K279" s="2">
        <v>33.3333333333333</v>
      </c>
      <c r="L279" s="2">
        <v>8.6206896551724093</v>
      </c>
      <c r="M279" s="2">
        <v>0.30873726458783501</v>
      </c>
      <c r="N279" s="1">
        <v>7.42899566715813E-6</v>
      </c>
      <c r="O279" s="2">
        <v>5.1290698949464799</v>
      </c>
      <c r="P279" s="2">
        <v>27.922413793103399</v>
      </c>
      <c r="Q279" s="3">
        <v>69.538503655450697</v>
      </c>
      <c r="R279" s="2">
        <v>0.76</v>
      </c>
      <c r="S279" s="2">
        <v>23.67</v>
      </c>
      <c r="T279" s="2">
        <v>1.54</v>
      </c>
      <c r="V279" s="4">
        <f t="shared" si="19"/>
        <v>134</v>
      </c>
      <c r="W279">
        <f t="shared" si="16"/>
        <v>4</v>
      </c>
      <c r="X279">
        <f t="shared" si="17"/>
        <v>1</v>
      </c>
      <c r="Y279">
        <v>278</v>
      </c>
      <c r="Z279" s="4">
        <f t="shared" si="18"/>
        <v>272</v>
      </c>
    </row>
    <row r="280" spans="1:26" x14ac:dyDescent="0.2">
      <c r="A280" s="11">
        <v>57</v>
      </c>
      <c r="B280" s="4">
        <v>2409</v>
      </c>
      <c r="C280" s="4">
        <v>2</v>
      </c>
      <c r="D280" s="4">
        <v>2</v>
      </c>
      <c r="E280" s="4">
        <v>1</v>
      </c>
      <c r="F280" s="4">
        <v>1</v>
      </c>
      <c r="G280" t="s">
        <v>259</v>
      </c>
      <c r="H280" s="4">
        <v>4</v>
      </c>
      <c r="I280" s="4">
        <v>8</v>
      </c>
      <c r="J280" s="4">
        <v>27</v>
      </c>
      <c r="K280" s="2">
        <v>50</v>
      </c>
      <c r="L280" s="2">
        <v>14.814814814814801</v>
      </c>
      <c r="M280" s="2">
        <v>0.122324159021406</v>
      </c>
      <c r="N280" s="1">
        <v>4.8887414861204697E-7</v>
      </c>
      <c r="O280" s="2">
        <v>6.3108029273750903</v>
      </c>
      <c r="P280" s="2">
        <v>121.111111111111</v>
      </c>
      <c r="Q280" s="3">
        <v>181.976345309473</v>
      </c>
      <c r="R280" s="2">
        <v>0.37</v>
      </c>
      <c r="S280" s="2">
        <v>23.48</v>
      </c>
      <c r="T280" s="2">
        <v>1.53</v>
      </c>
      <c r="V280" s="4">
        <f t="shared" si="19"/>
        <v>135</v>
      </c>
      <c r="W280">
        <f t="shared" si="16"/>
        <v>4</v>
      </c>
      <c r="X280">
        <f t="shared" si="17"/>
        <v>1</v>
      </c>
      <c r="Y280">
        <v>279</v>
      </c>
      <c r="Z280" s="4">
        <f t="shared" si="18"/>
        <v>273</v>
      </c>
    </row>
    <row r="281" spans="1:26" x14ac:dyDescent="0.2">
      <c r="A281" s="11">
        <v>57</v>
      </c>
      <c r="B281" s="4">
        <v>2409</v>
      </c>
      <c r="C281" s="4">
        <v>2</v>
      </c>
      <c r="D281" s="4">
        <v>2</v>
      </c>
      <c r="E281" s="4">
        <v>1</v>
      </c>
      <c r="F281" s="4">
        <v>2</v>
      </c>
      <c r="G281" t="s">
        <v>260</v>
      </c>
      <c r="H281" s="4">
        <v>4</v>
      </c>
      <c r="I281" s="4">
        <v>27</v>
      </c>
      <c r="J281" s="4">
        <v>8</v>
      </c>
      <c r="K281" s="2">
        <v>14.814814814814801</v>
      </c>
      <c r="L281" s="2">
        <v>50</v>
      </c>
      <c r="M281" s="2">
        <v>0.69930069930069905</v>
      </c>
      <c r="N281" s="1">
        <v>4.8887414861204496E-7</v>
      </c>
      <c r="O281" s="2">
        <v>6.3108029273750903</v>
      </c>
      <c r="P281" s="2">
        <v>71.5</v>
      </c>
      <c r="Q281" s="3">
        <v>181.976345309473</v>
      </c>
      <c r="R281" s="2">
        <v>2.4300000000000002</v>
      </c>
      <c r="S281" s="2">
        <v>23.48</v>
      </c>
      <c r="T281" s="2">
        <v>1.53</v>
      </c>
      <c r="V281" s="4">
        <f t="shared" si="19"/>
        <v>135</v>
      </c>
      <c r="W281">
        <f t="shared" si="16"/>
        <v>4</v>
      </c>
      <c r="X281">
        <f t="shared" si="17"/>
        <v>1</v>
      </c>
      <c r="Y281">
        <v>280</v>
      </c>
      <c r="Z281" s="4">
        <f t="shared" si="18"/>
        <v>274</v>
      </c>
    </row>
    <row r="282" spans="1:26" x14ac:dyDescent="0.2">
      <c r="A282" s="11">
        <v>58</v>
      </c>
      <c r="B282" s="4">
        <v>2118</v>
      </c>
      <c r="C282" s="4">
        <v>2</v>
      </c>
      <c r="D282" s="4">
        <v>2</v>
      </c>
      <c r="E282" s="4">
        <v>1</v>
      </c>
      <c r="F282" s="4">
        <v>1</v>
      </c>
      <c r="G282" t="s">
        <v>261</v>
      </c>
      <c r="H282" s="4">
        <v>4</v>
      </c>
      <c r="I282" s="4">
        <v>13</v>
      </c>
      <c r="J282" s="4">
        <v>31</v>
      </c>
      <c r="K282" s="2">
        <v>30.769230769230699</v>
      </c>
      <c r="L282" s="2">
        <v>12.9032258064516</v>
      </c>
      <c r="M282" s="2">
        <v>0.27556644213104697</v>
      </c>
      <c r="N282" s="1">
        <v>8.6291810176398508E-6</v>
      </c>
      <c r="O282" s="2">
        <v>5.0640304205533599</v>
      </c>
      <c r="P282" s="2">
        <v>46.824372759856601</v>
      </c>
      <c r="Q282" s="3">
        <v>94.600191371033105</v>
      </c>
      <c r="R282" s="2">
        <v>1.17</v>
      </c>
      <c r="S282" s="2">
        <v>22.75</v>
      </c>
      <c r="T282" s="2">
        <v>1.48</v>
      </c>
      <c r="V282" s="4">
        <f t="shared" si="19"/>
        <v>136</v>
      </c>
      <c r="W282">
        <f t="shared" si="16"/>
        <v>4</v>
      </c>
      <c r="X282">
        <f t="shared" si="17"/>
        <v>1</v>
      </c>
      <c r="Y282">
        <v>281</v>
      </c>
      <c r="Z282" s="4">
        <f t="shared" si="18"/>
        <v>275</v>
      </c>
    </row>
    <row r="283" spans="1:26" x14ac:dyDescent="0.2">
      <c r="A283" s="11">
        <v>58</v>
      </c>
      <c r="B283" s="4">
        <v>2118</v>
      </c>
      <c r="C283" s="4">
        <v>2</v>
      </c>
      <c r="D283" s="4">
        <v>2</v>
      </c>
      <c r="E283" s="4">
        <v>1</v>
      </c>
      <c r="F283" s="4">
        <v>2</v>
      </c>
      <c r="G283" t="s">
        <v>262</v>
      </c>
      <c r="H283" s="4">
        <v>4</v>
      </c>
      <c r="I283" s="4">
        <v>31</v>
      </c>
      <c r="J283" s="4">
        <v>13</v>
      </c>
      <c r="K283" s="2">
        <v>12.9032258064516</v>
      </c>
      <c r="L283" s="2">
        <v>30.769230769230699</v>
      </c>
      <c r="M283" s="2">
        <v>0.82216808769792904</v>
      </c>
      <c r="N283" s="1">
        <v>8.6291810176398694E-6</v>
      </c>
      <c r="O283" s="2">
        <v>5.0640304205533502</v>
      </c>
      <c r="P283" s="2">
        <v>37.4245014245014</v>
      </c>
      <c r="Q283" s="3">
        <v>94.600191371033105</v>
      </c>
      <c r="R283" s="2">
        <v>0.3</v>
      </c>
      <c r="S283" s="2">
        <v>22.75</v>
      </c>
      <c r="T283" s="2">
        <v>1.48</v>
      </c>
      <c r="V283" s="4">
        <f t="shared" si="19"/>
        <v>136</v>
      </c>
      <c r="W283">
        <f t="shared" si="16"/>
        <v>4</v>
      </c>
      <c r="X283">
        <f t="shared" si="17"/>
        <v>1</v>
      </c>
      <c r="Y283">
        <v>282</v>
      </c>
      <c r="Z283" s="4">
        <f t="shared" si="18"/>
        <v>276</v>
      </c>
    </row>
    <row r="284" spans="1:26" x14ac:dyDescent="0.2">
      <c r="A284" s="11">
        <v>59</v>
      </c>
      <c r="B284" s="4">
        <v>53</v>
      </c>
      <c r="C284" s="4">
        <v>2</v>
      </c>
      <c r="D284" s="4">
        <v>2</v>
      </c>
      <c r="E284" s="4">
        <v>1</v>
      </c>
      <c r="F284" s="4">
        <v>1</v>
      </c>
      <c r="G284" t="s">
        <v>263</v>
      </c>
      <c r="H284" s="4">
        <v>5</v>
      </c>
      <c r="I284" s="4">
        <v>13</v>
      </c>
      <c r="J284" s="4">
        <v>71</v>
      </c>
      <c r="K284" s="2">
        <v>38.461538461538403</v>
      </c>
      <c r="L284" s="2">
        <v>7.0422535211267601</v>
      </c>
      <c r="M284" s="2">
        <v>0.24798512089274599</v>
      </c>
      <c r="N284" s="1">
        <v>9.0496420541888706E-6</v>
      </c>
      <c r="O284" s="2">
        <v>5.0433685983599803</v>
      </c>
      <c r="P284" s="2">
        <v>28.3978873239436</v>
      </c>
      <c r="Q284" s="3">
        <v>65.271338589237502</v>
      </c>
      <c r="R284" s="2">
        <v>0.42</v>
      </c>
      <c r="S284" s="2">
        <v>19.62</v>
      </c>
      <c r="T284" s="2">
        <v>1.28</v>
      </c>
      <c r="V284" s="4">
        <f t="shared" si="19"/>
        <v>137</v>
      </c>
      <c r="W284">
        <f t="shared" si="16"/>
        <v>4</v>
      </c>
      <c r="X284">
        <f t="shared" si="17"/>
        <v>1</v>
      </c>
      <c r="Y284">
        <v>283</v>
      </c>
      <c r="Z284" s="4">
        <f t="shared" si="18"/>
        <v>277</v>
      </c>
    </row>
    <row r="285" spans="1:26" x14ac:dyDescent="0.2">
      <c r="A285" s="11">
        <v>59</v>
      </c>
      <c r="B285" s="4">
        <v>53</v>
      </c>
      <c r="C285" s="4">
        <v>2</v>
      </c>
      <c r="D285" s="4">
        <v>2</v>
      </c>
      <c r="E285" s="4">
        <v>1</v>
      </c>
      <c r="F285" s="4">
        <v>2</v>
      </c>
      <c r="G285" t="s">
        <v>101</v>
      </c>
      <c r="H285" s="4">
        <v>5</v>
      </c>
      <c r="I285" s="4">
        <v>72</v>
      </c>
      <c r="J285" s="4">
        <v>13</v>
      </c>
      <c r="K285" s="2">
        <v>6.9444444444444402</v>
      </c>
      <c r="L285" s="2">
        <v>38.461538461538403</v>
      </c>
      <c r="M285" s="2">
        <v>2.04019488428745</v>
      </c>
      <c r="N285" s="1">
        <v>9.7050298121317106E-6</v>
      </c>
      <c r="O285" s="2">
        <v>5.01300312619788</v>
      </c>
      <c r="P285" s="2">
        <v>18.851894374282399</v>
      </c>
      <c r="Q285" s="3">
        <v>64.264491448618401</v>
      </c>
      <c r="R285" s="2">
        <v>3.12</v>
      </c>
      <c r="S285" s="2">
        <v>19.62</v>
      </c>
      <c r="T285" s="2">
        <v>1.28</v>
      </c>
      <c r="V285" s="4">
        <f t="shared" si="19"/>
        <v>137</v>
      </c>
      <c r="W285">
        <f t="shared" si="16"/>
        <v>4</v>
      </c>
      <c r="X285">
        <f t="shared" si="17"/>
        <v>1</v>
      </c>
      <c r="Y285">
        <v>284</v>
      </c>
      <c r="Z285" s="4">
        <f t="shared" si="18"/>
        <v>278</v>
      </c>
    </row>
    <row r="286" spans="1:26" x14ac:dyDescent="0.2">
      <c r="A286" s="11">
        <v>59</v>
      </c>
      <c r="B286" s="4">
        <v>613</v>
      </c>
      <c r="C286" s="4">
        <v>2</v>
      </c>
      <c r="D286" s="4">
        <v>2</v>
      </c>
      <c r="E286" s="4">
        <v>1</v>
      </c>
      <c r="F286" s="4">
        <v>1</v>
      </c>
      <c r="G286" t="s">
        <v>135</v>
      </c>
      <c r="H286" s="4">
        <v>22</v>
      </c>
      <c r="I286" s="4">
        <v>172</v>
      </c>
      <c r="J286" s="4">
        <v>140</v>
      </c>
      <c r="K286" s="2">
        <v>12.790697674418601</v>
      </c>
      <c r="L286" s="2">
        <v>15.714285714285699</v>
      </c>
      <c r="M286" s="2">
        <v>4.7513462147608401</v>
      </c>
      <c r="N286" s="1">
        <v>3.8991168087531602E-6</v>
      </c>
      <c r="O286" s="2">
        <v>5.4090337541330999</v>
      </c>
      <c r="P286" s="2">
        <v>3.3073333333333301</v>
      </c>
      <c r="Q286" s="3">
        <v>32.583454844118997</v>
      </c>
      <c r="R286" s="2">
        <v>44.58</v>
      </c>
      <c r="S286" s="2">
        <v>21.9</v>
      </c>
      <c r="T286" s="2">
        <v>1.43</v>
      </c>
      <c r="V286" s="4">
        <f t="shared" si="19"/>
        <v>138</v>
      </c>
      <c r="W286">
        <f t="shared" si="16"/>
        <v>4</v>
      </c>
      <c r="X286">
        <f t="shared" si="17"/>
        <v>1</v>
      </c>
      <c r="Y286">
        <v>285</v>
      </c>
      <c r="Z286" s="4">
        <f t="shared" si="18"/>
        <v>279</v>
      </c>
    </row>
    <row r="287" spans="1:26" x14ac:dyDescent="0.2">
      <c r="A287" s="11">
        <v>59</v>
      </c>
      <c r="B287" s="4">
        <v>613</v>
      </c>
      <c r="C287" s="4">
        <v>2</v>
      </c>
      <c r="D287" s="4">
        <v>2</v>
      </c>
      <c r="E287" s="4">
        <v>1</v>
      </c>
      <c r="F287" s="4">
        <v>2</v>
      </c>
      <c r="G287" t="s">
        <v>43</v>
      </c>
      <c r="H287" s="4">
        <v>22</v>
      </c>
      <c r="I287" s="4">
        <v>143</v>
      </c>
      <c r="J287" s="4">
        <v>168</v>
      </c>
      <c r="K287" s="2">
        <v>15.3846153846153</v>
      </c>
      <c r="L287" s="2">
        <v>13.095238095238001</v>
      </c>
      <c r="M287" s="2">
        <v>3.8670501757750002</v>
      </c>
      <c r="N287" s="1">
        <v>3.7590103549313801E-6</v>
      </c>
      <c r="O287" s="2">
        <v>5.4249264779351902</v>
      </c>
      <c r="P287" s="2">
        <v>3.38636363636363</v>
      </c>
      <c r="Q287" s="3">
        <v>32.724191470116502</v>
      </c>
      <c r="R287" s="2">
        <v>3.86</v>
      </c>
      <c r="S287" s="2">
        <v>21.9</v>
      </c>
      <c r="T287" s="2">
        <v>1.43</v>
      </c>
      <c r="V287" s="4">
        <f t="shared" si="19"/>
        <v>138</v>
      </c>
      <c r="W287">
        <f t="shared" si="16"/>
        <v>4</v>
      </c>
      <c r="X287">
        <f t="shared" si="17"/>
        <v>1</v>
      </c>
      <c r="Y287">
        <v>286</v>
      </c>
      <c r="Z287" s="4">
        <f t="shared" si="18"/>
        <v>280</v>
      </c>
    </row>
    <row r="288" spans="1:26" x14ac:dyDescent="0.2">
      <c r="A288" s="11">
        <v>59</v>
      </c>
      <c r="B288" s="4">
        <v>671</v>
      </c>
      <c r="C288" s="4">
        <v>2</v>
      </c>
      <c r="D288" s="4">
        <v>2</v>
      </c>
      <c r="E288" s="4">
        <v>1</v>
      </c>
      <c r="F288" s="4">
        <v>1</v>
      </c>
      <c r="G288" t="s">
        <v>264</v>
      </c>
      <c r="H288" s="4">
        <v>9</v>
      </c>
      <c r="I288" s="4">
        <v>18</v>
      </c>
      <c r="J288" s="4">
        <v>256</v>
      </c>
      <c r="K288" s="2">
        <v>50</v>
      </c>
      <c r="L288" s="2">
        <v>3.515625</v>
      </c>
      <c r="M288" s="2">
        <v>0.29595527786912201</v>
      </c>
      <c r="N288" s="1">
        <v>4.6649170229275597E-6</v>
      </c>
      <c r="O288" s="2">
        <v>5.3311560768489201</v>
      </c>
      <c r="P288" s="2">
        <v>11.87890625</v>
      </c>
      <c r="Q288" s="3">
        <v>39.345276844854702</v>
      </c>
      <c r="R288" s="2">
        <v>0.79</v>
      </c>
      <c r="S288" s="2">
        <v>21.04</v>
      </c>
      <c r="T288" s="2">
        <v>1.37</v>
      </c>
      <c r="V288" s="4">
        <f t="shared" si="19"/>
        <v>139</v>
      </c>
      <c r="W288">
        <f t="shared" si="16"/>
        <v>4</v>
      </c>
      <c r="X288">
        <f t="shared" si="17"/>
        <v>1</v>
      </c>
      <c r="Y288">
        <v>287</v>
      </c>
      <c r="Z288" s="4">
        <f t="shared" si="18"/>
        <v>281</v>
      </c>
    </row>
    <row r="289" spans="1:26" x14ac:dyDescent="0.2">
      <c r="A289" s="11">
        <v>59</v>
      </c>
      <c r="B289" s="4">
        <v>671</v>
      </c>
      <c r="C289" s="4">
        <v>2</v>
      </c>
      <c r="D289" s="4">
        <v>2</v>
      </c>
      <c r="E289" s="4">
        <v>1</v>
      </c>
      <c r="F289" s="4">
        <v>2</v>
      </c>
      <c r="G289" t="s">
        <v>265</v>
      </c>
      <c r="H289" s="4">
        <v>9</v>
      </c>
      <c r="I289" s="4">
        <v>271</v>
      </c>
      <c r="J289" s="4">
        <v>18</v>
      </c>
      <c r="K289" s="2">
        <v>3.3210332103321001</v>
      </c>
      <c r="L289" s="2">
        <v>50</v>
      </c>
      <c r="M289" s="2">
        <v>7.9902409271119197</v>
      </c>
      <c r="N289" s="1">
        <v>7.5458759331185201E-6</v>
      </c>
      <c r="O289" s="2">
        <v>5.1222903396074502</v>
      </c>
      <c r="P289" s="2">
        <v>6.2576335877862501</v>
      </c>
      <c r="Q289" s="3">
        <v>36.495344826755399</v>
      </c>
      <c r="R289" s="2">
        <v>6.51</v>
      </c>
      <c r="S289" s="2">
        <v>21.04</v>
      </c>
      <c r="T289" s="2">
        <v>1.37</v>
      </c>
      <c r="V289" s="4">
        <f t="shared" si="19"/>
        <v>139</v>
      </c>
      <c r="W289">
        <f t="shared" si="16"/>
        <v>4</v>
      </c>
      <c r="X289">
        <f t="shared" si="17"/>
        <v>1</v>
      </c>
      <c r="Y289">
        <v>288</v>
      </c>
      <c r="Z289" s="4">
        <f t="shared" si="18"/>
        <v>282</v>
      </c>
    </row>
    <row r="290" spans="1:26" x14ac:dyDescent="0.2">
      <c r="A290" s="11">
        <v>59</v>
      </c>
      <c r="B290" s="4">
        <v>1364</v>
      </c>
      <c r="C290" s="4">
        <v>2</v>
      </c>
      <c r="D290" s="4">
        <v>2</v>
      </c>
      <c r="E290" s="4">
        <v>1</v>
      </c>
      <c r="F290" s="4">
        <v>1</v>
      </c>
      <c r="G290" t="s">
        <v>266</v>
      </c>
      <c r="H290" s="4">
        <v>4</v>
      </c>
      <c r="I290" s="4">
        <v>72</v>
      </c>
      <c r="J290" s="4">
        <v>6</v>
      </c>
      <c r="K290" s="2">
        <v>5.55555555555555</v>
      </c>
      <c r="L290" s="2">
        <v>66.6666666666666</v>
      </c>
      <c r="M290" s="2">
        <v>2.06624126405347</v>
      </c>
      <c r="N290" s="1">
        <v>6.0744714490638401E-6</v>
      </c>
      <c r="O290" s="2">
        <v>5.2164915048475597</v>
      </c>
      <c r="P290" s="2">
        <v>32.264705882352899</v>
      </c>
      <c r="Q290" s="3">
        <v>88.717693596760199</v>
      </c>
      <c r="R290" s="2">
        <v>19.760000000000002</v>
      </c>
      <c r="S290" s="2">
        <v>21.78</v>
      </c>
      <c r="T290" s="2">
        <v>1.42</v>
      </c>
      <c r="V290" s="4">
        <f t="shared" si="19"/>
        <v>140</v>
      </c>
      <c r="W290">
        <f t="shared" si="16"/>
        <v>4</v>
      </c>
      <c r="X290">
        <f t="shared" si="17"/>
        <v>1</v>
      </c>
      <c r="Y290">
        <v>289</v>
      </c>
      <c r="Z290" s="4">
        <f t="shared" si="18"/>
        <v>283</v>
      </c>
    </row>
    <row r="291" spans="1:26" x14ac:dyDescent="0.2">
      <c r="A291" s="11">
        <v>59</v>
      </c>
      <c r="B291" s="4">
        <v>1364</v>
      </c>
      <c r="C291" s="4">
        <v>2</v>
      </c>
      <c r="D291" s="4">
        <v>2</v>
      </c>
      <c r="E291" s="4">
        <v>1</v>
      </c>
      <c r="F291" s="4">
        <v>2</v>
      </c>
      <c r="G291" t="s">
        <v>267</v>
      </c>
      <c r="H291" s="4">
        <v>4</v>
      </c>
      <c r="I291" s="4">
        <v>6</v>
      </c>
      <c r="J291" s="4">
        <v>70</v>
      </c>
      <c r="K291" s="2">
        <v>66.6666666666666</v>
      </c>
      <c r="L291" s="2">
        <v>5.71428571428571</v>
      </c>
      <c r="M291" s="2">
        <v>6.19770684846606E-2</v>
      </c>
      <c r="N291" s="1">
        <v>5.4191370163194898E-6</v>
      </c>
      <c r="O291" s="2">
        <v>5.2660698682385298</v>
      </c>
      <c r="P291" s="2">
        <v>92.199999999999903</v>
      </c>
      <c r="Q291" s="3">
        <v>91.393082914950398</v>
      </c>
      <c r="R291" s="2">
        <v>0.48</v>
      </c>
      <c r="S291" s="2">
        <v>21.78</v>
      </c>
      <c r="T291" s="2">
        <v>1.42</v>
      </c>
      <c r="V291" s="4">
        <f t="shared" si="19"/>
        <v>140</v>
      </c>
      <c r="W291">
        <f t="shared" si="16"/>
        <v>4</v>
      </c>
      <c r="X291">
        <f t="shared" si="17"/>
        <v>1</v>
      </c>
      <c r="Y291">
        <v>290</v>
      </c>
      <c r="Z291" s="4">
        <f t="shared" si="18"/>
        <v>284</v>
      </c>
    </row>
    <row r="292" spans="1:26" x14ac:dyDescent="0.2">
      <c r="A292" s="11">
        <v>59</v>
      </c>
      <c r="B292" s="4">
        <v>1731</v>
      </c>
      <c r="C292" s="4">
        <v>2</v>
      </c>
      <c r="D292" s="4">
        <v>2</v>
      </c>
      <c r="E292" s="4">
        <v>1</v>
      </c>
      <c r="F292" s="4">
        <v>1</v>
      </c>
      <c r="G292" t="s">
        <v>268</v>
      </c>
      <c r="H292" s="4">
        <v>4</v>
      </c>
      <c r="I292" s="4">
        <v>10</v>
      </c>
      <c r="J292" s="4">
        <v>40</v>
      </c>
      <c r="K292" s="2">
        <v>40</v>
      </c>
      <c r="L292" s="2">
        <v>10</v>
      </c>
      <c r="M292" s="2">
        <v>0.184218606079214</v>
      </c>
      <c r="N292" s="1">
        <v>7.40953435986124E-6</v>
      </c>
      <c r="O292" s="2">
        <v>5.1302090836936696</v>
      </c>
      <c r="P292" s="2">
        <v>54.283333333333303</v>
      </c>
      <c r="Q292" s="3">
        <v>95.537283588265396</v>
      </c>
      <c r="R292" s="2">
        <v>3.48</v>
      </c>
      <c r="S292" s="2">
        <v>25.93</v>
      </c>
      <c r="T292" s="2">
        <v>1.69</v>
      </c>
      <c r="V292" s="4">
        <f t="shared" si="19"/>
        <v>141</v>
      </c>
      <c r="W292">
        <f t="shared" si="16"/>
        <v>4</v>
      </c>
      <c r="X292">
        <f t="shared" si="17"/>
        <v>1</v>
      </c>
      <c r="Y292">
        <v>291</v>
      </c>
      <c r="Z292" s="4">
        <f t="shared" si="18"/>
        <v>285</v>
      </c>
    </row>
    <row r="293" spans="1:26" x14ac:dyDescent="0.2">
      <c r="A293" s="11">
        <v>59</v>
      </c>
      <c r="B293" s="4">
        <v>1731</v>
      </c>
      <c r="C293" s="4">
        <v>2</v>
      </c>
      <c r="D293" s="4">
        <v>2</v>
      </c>
      <c r="E293" s="4">
        <v>1</v>
      </c>
      <c r="F293" s="4">
        <v>2</v>
      </c>
      <c r="G293" t="s">
        <v>269</v>
      </c>
      <c r="H293" s="4">
        <v>4</v>
      </c>
      <c r="I293" s="4">
        <v>42</v>
      </c>
      <c r="J293" s="4">
        <v>10</v>
      </c>
      <c r="K293" s="2">
        <v>9.5238095238095202</v>
      </c>
      <c r="L293" s="2">
        <v>40</v>
      </c>
      <c r="M293" s="2">
        <v>1.15606936416184</v>
      </c>
      <c r="N293" s="1">
        <v>9.0482128471252403E-6</v>
      </c>
      <c r="O293" s="2">
        <v>5.0434371917646601</v>
      </c>
      <c r="P293" s="2">
        <v>34.6</v>
      </c>
      <c r="Q293" s="3">
        <v>90.717166771347493</v>
      </c>
      <c r="R293" s="2">
        <v>1.1200000000000001</v>
      </c>
      <c r="S293" s="2">
        <v>25.93</v>
      </c>
      <c r="T293" s="2">
        <v>1.69</v>
      </c>
      <c r="V293" s="4">
        <f t="shared" si="19"/>
        <v>141</v>
      </c>
      <c r="W293">
        <f t="shared" si="16"/>
        <v>4</v>
      </c>
      <c r="X293">
        <f t="shared" si="17"/>
        <v>1</v>
      </c>
      <c r="Y293">
        <v>292</v>
      </c>
      <c r="Z293" s="4">
        <f t="shared" si="18"/>
        <v>286</v>
      </c>
    </row>
    <row r="294" spans="1:26" x14ac:dyDescent="0.2">
      <c r="A294" s="11">
        <v>59</v>
      </c>
      <c r="B294" s="4">
        <v>1881</v>
      </c>
      <c r="C294" s="4">
        <v>3</v>
      </c>
      <c r="D294" s="4">
        <v>2</v>
      </c>
      <c r="E294" s="4">
        <v>1</v>
      </c>
      <c r="F294" s="4">
        <v>1</v>
      </c>
      <c r="G294" t="s">
        <v>270</v>
      </c>
      <c r="H294" s="4">
        <v>13</v>
      </c>
      <c r="I294" s="4">
        <v>327</v>
      </c>
      <c r="J294" s="4">
        <v>24</v>
      </c>
      <c r="K294" s="2">
        <v>3.9755351681957101</v>
      </c>
      <c r="L294" s="2">
        <v>54.1666666666666</v>
      </c>
      <c r="M294" s="2">
        <v>9.5936449740299405</v>
      </c>
      <c r="N294" s="1">
        <v>1.2989756187305699E-7</v>
      </c>
      <c r="O294" s="2">
        <v>6.8863990003897397</v>
      </c>
      <c r="P294" s="2">
        <v>5.6460987261146398</v>
      </c>
      <c r="Q294" s="3">
        <v>48.1090454465009</v>
      </c>
      <c r="R294" s="2">
        <v>106.51</v>
      </c>
      <c r="S294" s="2">
        <v>21.85</v>
      </c>
      <c r="T294" s="2">
        <v>1.42</v>
      </c>
      <c r="V294" s="4">
        <f t="shared" si="19"/>
        <v>142</v>
      </c>
      <c r="W294">
        <f t="shared" si="16"/>
        <v>4</v>
      </c>
      <c r="X294">
        <f t="shared" si="17"/>
        <v>1</v>
      </c>
      <c r="Y294">
        <v>293</v>
      </c>
      <c r="Z294" s="4">
        <f t="shared" si="18"/>
        <v>287</v>
      </c>
    </row>
    <row r="295" spans="1:26" x14ac:dyDescent="0.2">
      <c r="A295" s="11">
        <v>59</v>
      </c>
      <c r="B295" s="4">
        <v>1881</v>
      </c>
      <c r="C295" s="4">
        <v>3</v>
      </c>
      <c r="D295" s="4">
        <v>2</v>
      </c>
      <c r="E295" s="4">
        <v>2</v>
      </c>
      <c r="F295" s="4">
        <v>2</v>
      </c>
      <c r="G295" t="s">
        <v>271</v>
      </c>
      <c r="H295" s="4">
        <v>6</v>
      </c>
      <c r="I295" s="4">
        <v>7</v>
      </c>
      <c r="J295" s="4">
        <v>318</v>
      </c>
      <c r="K295" s="2">
        <v>85.714285714285694</v>
      </c>
      <c r="L295" s="2">
        <v>1.88679245283018</v>
      </c>
      <c r="M295" s="2">
        <v>3.3568311513930797E-2</v>
      </c>
      <c r="N295" s="1">
        <v>9.9206852060880597E-6</v>
      </c>
      <c r="O295" s="2">
        <v>5.0034583307746399</v>
      </c>
      <c r="P295" s="2">
        <v>56.207547169811299</v>
      </c>
      <c r="Q295" s="3">
        <v>38.241176922722403</v>
      </c>
      <c r="R295" s="2">
        <v>0.57999999999999996</v>
      </c>
      <c r="S295" s="2">
        <v>21.85</v>
      </c>
      <c r="T295" s="2">
        <v>1.42</v>
      </c>
      <c r="V295" s="4">
        <f t="shared" si="19"/>
        <v>142</v>
      </c>
      <c r="W295">
        <f t="shared" si="16"/>
        <v>4</v>
      </c>
      <c r="X295">
        <f t="shared" si="17"/>
        <v>1</v>
      </c>
      <c r="Y295">
        <v>294</v>
      </c>
      <c r="Z295" s="4">
        <f t="shared" si="18"/>
        <v>288</v>
      </c>
    </row>
    <row r="296" spans="1:26" x14ac:dyDescent="0.2">
      <c r="A296" s="11">
        <v>59</v>
      </c>
      <c r="B296" s="4">
        <v>1881</v>
      </c>
      <c r="C296" s="4">
        <v>3</v>
      </c>
      <c r="D296" s="4">
        <v>2</v>
      </c>
      <c r="E296" s="4">
        <v>2</v>
      </c>
      <c r="F296" s="4">
        <v>2</v>
      </c>
      <c r="G296" t="s">
        <v>272</v>
      </c>
      <c r="H296" s="4">
        <v>7</v>
      </c>
      <c r="I296" s="4">
        <v>18</v>
      </c>
      <c r="J296" s="4">
        <v>318</v>
      </c>
      <c r="K296" s="2">
        <v>38.8888888888888</v>
      </c>
      <c r="L296" s="2">
        <v>2.2012578616352201</v>
      </c>
      <c r="M296" s="2">
        <v>0.36925142665323901</v>
      </c>
      <c r="N296" s="1">
        <v>1.8115812737029601E-3</v>
      </c>
      <c r="O296" s="2">
        <v>2.74194217726347</v>
      </c>
      <c r="P296" s="2">
        <v>5.96140651801029</v>
      </c>
      <c r="Q296" s="3">
        <v>14.5467588540142</v>
      </c>
      <c r="R296" s="2">
        <v>0.57999999999999996</v>
      </c>
      <c r="S296" s="2">
        <v>21.85</v>
      </c>
      <c r="T296" s="2">
        <v>1.42</v>
      </c>
      <c r="V296" s="4">
        <f t="shared" si="19"/>
        <v>142</v>
      </c>
      <c r="W296">
        <f t="shared" si="16"/>
        <v>4</v>
      </c>
      <c r="X296">
        <f t="shared" si="17"/>
        <v>1</v>
      </c>
      <c r="Y296">
        <v>295</v>
      </c>
      <c r="Z296" s="4">
        <f t="shared" si="18"/>
        <v>288</v>
      </c>
    </row>
    <row r="297" spans="1:26" x14ac:dyDescent="0.2">
      <c r="A297" s="11">
        <v>59</v>
      </c>
      <c r="B297" s="4">
        <v>1930</v>
      </c>
      <c r="C297" s="4">
        <v>2</v>
      </c>
      <c r="D297" s="4">
        <v>2</v>
      </c>
      <c r="E297" s="4">
        <v>1</v>
      </c>
      <c r="F297" s="4">
        <v>1</v>
      </c>
      <c r="G297" t="s">
        <v>273</v>
      </c>
      <c r="H297" s="4">
        <v>6</v>
      </c>
      <c r="I297" s="4">
        <v>23</v>
      </c>
      <c r="J297" s="4">
        <v>64</v>
      </c>
      <c r="K297" s="2">
        <v>26.086956521739101</v>
      </c>
      <c r="L297" s="2">
        <v>9.375</v>
      </c>
      <c r="M297" s="2">
        <v>0.525827404887101</v>
      </c>
      <c r="N297" s="1">
        <v>6.5812307964345E-6</v>
      </c>
      <c r="O297" s="2">
        <v>5.1816928787091303</v>
      </c>
      <c r="P297" s="2">
        <v>17.829044117647001</v>
      </c>
      <c r="Q297" s="3">
        <v>58.742841776035199</v>
      </c>
      <c r="R297" s="2">
        <v>1.48</v>
      </c>
      <c r="S297" s="2">
        <v>22.94</v>
      </c>
      <c r="T297" s="2">
        <v>1.5</v>
      </c>
      <c r="V297" s="4">
        <f t="shared" si="19"/>
        <v>143</v>
      </c>
      <c r="W297">
        <f t="shared" si="16"/>
        <v>4</v>
      </c>
      <c r="X297">
        <f t="shared" si="17"/>
        <v>1</v>
      </c>
      <c r="Y297">
        <v>296</v>
      </c>
      <c r="Z297" s="4">
        <f t="shared" si="18"/>
        <v>289</v>
      </c>
    </row>
    <row r="298" spans="1:26" x14ac:dyDescent="0.2">
      <c r="A298" s="11">
        <v>59</v>
      </c>
      <c r="B298" s="4">
        <v>1930</v>
      </c>
      <c r="C298" s="4">
        <v>2</v>
      </c>
      <c r="D298" s="4">
        <v>2</v>
      </c>
      <c r="E298" s="4">
        <v>1</v>
      </c>
      <c r="F298" s="4">
        <v>2</v>
      </c>
      <c r="G298" t="s">
        <v>274</v>
      </c>
      <c r="H298" s="4">
        <v>6</v>
      </c>
      <c r="I298" s="4">
        <v>66</v>
      </c>
      <c r="J298" s="4">
        <v>23</v>
      </c>
      <c r="K298" s="2">
        <v>9.0909090909090899</v>
      </c>
      <c r="L298" s="2">
        <v>26.086956521739101</v>
      </c>
      <c r="M298" s="2">
        <v>1.8326206475259601</v>
      </c>
      <c r="N298" s="1">
        <v>7.9043859375015504E-6</v>
      </c>
      <c r="O298" s="2">
        <v>5.1021318631527901</v>
      </c>
      <c r="P298" s="2">
        <v>14.2347826086956</v>
      </c>
      <c r="Q298" s="3">
        <v>56.683723646229197</v>
      </c>
      <c r="R298" s="2">
        <v>129.22</v>
      </c>
      <c r="S298" s="2">
        <v>22.94</v>
      </c>
      <c r="T298" s="2">
        <v>1.5</v>
      </c>
      <c r="V298" s="4">
        <f t="shared" si="19"/>
        <v>143</v>
      </c>
      <c r="W298">
        <f t="shared" si="16"/>
        <v>4</v>
      </c>
      <c r="X298">
        <f t="shared" si="17"/>
        <v>1</v>
      </c>
      <c r="Y298">
        <v>297</v>
      </c>
      <c r="Z298" s="4">
        <f t="shared" si="18"/>
        <v>290</v>
      </c>
    </row>
    <row r="299" spans="1:26" x14ac:dyDescent="0.2">
      <c r="A299" s="11">
        <v>59</v>
      </c>
      <c r="B299" s="4">
        <v>2518</v>
      </c>
      <c r="C299" s="4">
        <v>3</v>
      </c>
      <c r="D299" s="4">
        <v>2</v>
      </c>
      <c r="E299" s="4">
        <v>1</v>
      </c>
      <c r="F299" s="4">
        <v>1</v>
      </c>
      <c r="G299" t="s">
        <v>275</v>
      </c>
      <c r="H299" s="4">
        <v>4</v>
      </c>
      <c r="I299" s="4">
        <v>7</v>
      </c>
      <c r="J299" s="4">
        <v>55</v>
      </c>
      <c r="K299" s="2">
        <v>57.142857142857103</v>
      </c>
      <c r="L299" s="2">
        <v>7.2727272727272698</v>
      </c>
      <c r="M299" s="2">
        <v>9.2535471930906804E-2</v>
      </c>
      <c r="N299" s="1">
        <v>4.6796084113967801E-6</v>
      </c>
      <c r="O299" s="2">
        <v>5.3297904870722101</v>
      </c>
      <c r="P299" s="2">
        <v>78.593939393939394</v>
      </c>
      <c r="Q299" s="3">
        <v>99.896328033176701</v>
      </c>
      <c r="R299" s="2">
        <v>1.23</v>
      </c>
      <c r="S299" s="2">
        <v>20.69</v>
      </c>
      <c r="T299" s="2">
        <v>1.35</v>
      </c>
      <c r="V299" s="4">
        <f t="shared" si="19"/>
        <v>144</v>
      </c>
      <c r="W299">
        <f t="shared" si="16"/>
        <v>4</v>
      </c>
      <c r="X299">
        <f t="shared" si="17"/>
        <v>1</v>
      </c>
      <c r="Y299">
        <v>298</v>
      </c>
      <c r="Z299" s="4">
        <f t="shared" si="18"/>
        <v>291</v>
      </c>
    </row>
    <row r="300" spans="1:26" x14ac:dyDescent="0.2">
      <c r="A300" s="11">
        <v>59</v>
      </c>
      <c r="B300" s="4">
        <v>2518</v>
      </c>
      <c r="C300" s="4">
        <v>3</v>
      </c>
      <c r="D300" s="4">
        <v>2</v>
      </c>
      <c r="E300" s="4">
        <v>2</v>
      </c>
      <c r="F300" s="4">
        <v>2</v>
      </c>
      <c r="G300" t="s">
        <v>276</v>
      </c>
      <c r="H300" s="4">
        <v>2</v>
      </c>
      <c r="I300" s="4">
        <v>2</v>
      </c>
      <c r="J300" s="4">
        <v>7</v>
      </c>
      <c r="K300" s="2">
        <v>100</v>
      </c>
      <c r="L300" s="2">
        <v>28.571428571428498</v>
      </c>
      <c r="M300" s="2">
        <v>0</v>
      </c>
      <c r="N300" s="1">
        <v>7.7298868344567496E-6</v>
      </c>
      <c r="O300" s="2">
        <v>5.11182686410634</v>
      </c>
      <c r="P300" s="2" t="s">
        <v>277</v>
      </c>
      <c r="Q300" s="3">
        <v>528.32075170309599</v>
      </c>
      <c r="R300" s="2">
        <v>0.6</v>
      </c>
      <c r="S300" s="2">
        <v>20.69</v>
      </c>
      <c r="T300" s="2">
        <v>1.35</v>
      </c>
      <c r="V300" s="4">
        <f t="shared" si="19"/>
        <v>144</v>
      </c>
      <c r="W300">
        <f t="shared" si="16"/>
        <v>4</v>
      </c>
      <c r="X300">
        <f t="shared" si="17"/>
        <v>1</v>
      </c>
      <c r="Y300">
        <v>299</v>
      </c>
      <c r="Z300" s="4">
        <f t="shared" si="18"/>
        <v>292</v>
      </c>
    </row>
    <row r="301" spans="1:26" x14ac:dyDescent="0.2">
      <c r="A301" s="11">
        <v>59</v>
      </c>
      <c r="B301" s="4">
        <v>2518</v>
      </c>
      <c r="C301" s="4">
        <v>3</v>
      </c>
      <c r="D301" s="4">
        <v>2</v>
      </c>
      <c r="E301" s="4">
        <v>2</v>
      </c>
      <c r="F301" s="4">
        <v>2</v>
      </c>
      <c r="G301" t="s">
        <v>129</v>
      </c>
      <c r="H301" s="4">
        <v>3</v>
      </c>
      <c r="I301" s="4">
        <v>56</v>
      </c>
      <c r="J301" s="4">
        <v>7</v>
      </c>
      <c r="K301" s="2">
        <v>5.3571428571428497</v>
      </c>
      <c r="L301" s="2">
        <v>42.857142857142797</v>
      </c>
      <c r="M301" s="2">
        <v>1.61094224924012</v>
      </c>
      <c r="N301" s="1">
        <v>3.0974799570189097E-4</v>
      </c>
      <c r="O301" s="2">
        <v>3.5089914951485799</v>
      </c>
      <c r="P301" s="2">
        <v>26.6037735849056</v>
      </c>
      <c r="Q301" s="3">
        <v>48.613018354428299</v>
      </c>
      <c r="R301" s="2">
        <v>2.5299999999999998</v>
      </c>
      <c r="S301" s="2">
        <v>20.69</v>
      </c>
      <c r="T301" s="2">
        <v>1.35</v>
      </c>
      <c r="V301" s="4">
        <f t="shared" si="19"/>
        <v>144</v>
      </c>
      <c r="W301">
        <f t="shared" si="16"/>
        <v>4</v>
      </c>
      <c r="X301">
        <f t="shared" si="17"/>
        <v>1</v>
      </c>
      <c r="Y301">
        <v>300</v>
      </c>
      <c r="Z301" s="4">
        <f t="shared" si="18"/>
        <v>292</v>
      </c>
    </row>
    <row r="302" spans="1:26" x14ac:dyDescent="0.2">
      <c r="A302" s="11">
        <v>60</v>
      </c>
      <c r="B302" s="4">
        <v>2175</v>
      </c>
      <c r="C302" s="4">
        <v>2</v>
      </c>
      <c r="D302" s="4">
        <v>2</v>
      </c>
      <c r="E302" s="4">
        <v>1</v>
      </c>
      <c r="F302" s="4">
        <v>1</v>
      </c>
      <c r="G302" t="s">
        <v>278</v>
      </c>
      <c r="H302" s="4">
        <v>4</v>
      </c>
      <c r="I302" s="4">
        <v>6</v>
      </c>
      <c r="J302" s="4">
        <v>49</v>
      </c>
      <c r="K302" s="2">
        <v>66.6666666666666</v>
      </c>
      <c r="L302" s="2">
        <v>8.1632653061224492</v>
      </c>
      <c r="M302" s="2">
        <v>6.1576354679802901E-2</v>
      </c>
      <c r="N302" s="1">
        <v>1.26526691648748E-6</v>
      </c>
      <c r="O302" s="2">
        <v>5.8978178475081604</v>
      </c>
      <c r="P302" s="2">
        <v>132.57142857142799</v>
      </c>
      <c r="Q302" s="3">
        <v>132.673826099</v>
      </c>
      <c r="R302" s="2">
        <v>3.54</v>
      </c>
      <c r="S302" s="2">
        <v>22.88</v>
      </c>
      <c r="T302" s="2">
        <v>1.49</v>
      </c>
      <c r="V302" s="4">
        <f t="shared" si="19"/>
        <v>145</v>
      </c>
      <c r="W302">
        <f t="shared" si="16"/>
        <v>4</v>
      </c>
      <c r="X302">
        <f t="shared" si="17"/>
        <v>1</v>
      </c>
      <c r="Y302">
        <v>301</v>
      </c>
      <c r="Z302" s="4">
        <f t="shared" si="18"/>
        <v>293</v>
      </c>
    </row>
    <row r="303" spans="1:26" x14ac:dyDescent="0.2">
      <c r="A303" s="11">
        <v>60</v>
      </c>
      <c r="B303" s="4">
        <v>2175</v>
      </c>
      <c r="C303" s="4">
        <v>2</v>
      </c>
      <c r="D303" s="4">
        <v>2</v>
      </c>
      <c r="E303" s="4">
        <v>1</v>
      </c>
      <c r="F303" s="4">
        <v>2</v>
      </c>
      <c r="G303" t="s">
        <v>279</v>
      </c>
      <c r="H303" s="4">
        <v>4</v>
      </c>
      <c r="I303" s="4">
        <v>49</v>
      </c>
      <c r="J303" s="4">
        <v>6</v>
      </c>
      <c r="K303" s="2">
        <v>8.1632653061224492</v>
      </c>
      <c r="L303" s="2">
        <v>66.6666666666666</v>
      </c>
      <c r="M303" s="2">
        <v>1.36736554238833</v>
      </c>
      <c r="N303" s="1">
        <v>1.26526691648748E-6</v>
      </c>
      <c r="O303" s="2">
        <v>5.8978178475081604</v>
      </c>
      <c r="P303" s="2">
        <v>48.755555555555503</v>
      </c>
      <c r="Q303" s="3">
        <v>132.673826099</v>
      </c>
      <c r="R303" s="2">
        <v>6.21</v>
      </c>
      <c r="S303" s="2">
        <v>22.88</v>
      </c>
      <c r="T303" s="2">
        <v>1.49</v>
      </c>
      <c r="V303" s="4">
        <f t="shared" si="19"/>
        <v>145</v>
      </c>
      <c r="W303">
        <f t="shared" si="16"/>
        <v>4</v>
      </c>
      <c r="X303">
        <f t="shared" si="17"/>
        <v>1</v>
      </c>
      <c r="Y303">
        <v>302</v>
      </c>
      <c r="Z303" s="4">
        <f t="shared" si="18"/>
        <v>294</v>
      </c>
    </row>
    <row r="304" spans="1:26" x14ac:dyDescent="0.2">
      <c r="A304" s="11">
        <v>61</v>
      </c>
      <c r="B304" s="4">
        <v>583</v>
      </c>
      <c r="C304" s="4">
        <v>2</v>
      </c>
      <c r="D304" s="4">
        <v>2</v>
      </c>
      <c r="E304" s="4">
        <v>1</v>
      </c>
      <c r="F304" s="4">
        <v>1</v>
      </c>
      <c r="G304" t="s">
        <v>280</v>
      </c>
      <c r="H304" s="4">
        <v>7</v>
      </c>
      <c r="I304" s="4">
        <v>81</v>
      </c>
      <c r="J304" s="4">
        <v>27</v>
      </c>
      <c r="K304" s="2">
        <v>8.6419753086419693</v>
      </c>
      <c r="L304" s="2">
        <v>25.925925925925899</v>
      </c>
      <c r="M304" s="2">
        <v>2.2629969418960201</v>
      </c>
      <c r="N304" s="1">
        <v>4.9716540248575E-6</v>
      </c>
      <c r="O304" s="2">
        <v>5.3034991013343404</v>
      </c>
      <c r="P304" s="2">
        <v>11.456456456456401</v>
      </c>
      <c r="Q304" s="3">
        <v>53.085327347234703</v>
      </c>
      <c r="R304" s="2">
        <v>2.0699999999999998</v>
      </c>
      <c r="S304" s="2">
        <v>21.16</v>
      </c>
      <c r="T304" s="2">
        <v>1.38</v>
      </c>
      <c r="V304" s="4">
        <f t="shared" si="19"/>
        <v>146</v>
      </c>
      <c r="W304">
        <f t="shared" si="16"/>
        <v>4</v>
      </c>
      <c r="X304">
        <f t="shared" si="17"/>
        <v>1</v>
      </c>
      <c r="Y304">
        <v>303</v>
      </c>
      <c r="Z304" s="4">
        <f t="shared" si="18"/>
        <v>295</v>
      </c>
    </row>
    <row r="305" spans="1:26" x14ac:dyDescent="0.2">
      <c r="A305" s="11">
        <v>61</v>
      </c>
      <c r="B305" s="4">
        <v>583</v>
      </c>
      <c r="C305" s="4">
        <v>2</v>
      </c>
      <c r="D305" s="4">
        <v>2</v>
      </c>
      <c r="E305" s="4">
        <v>1</v>
      </c>
      <c r="F305" s="4">
        <v>2</v>
      </c>
      <c r="G305" t="s">
        <v>281</v>
      </c>
      <c r="H305" s="4">
        <v>7</v>
      </c>
      <c r="I305" s="4">
        <v>27</v>
      </c>
      <c r="J305" s="4">
        <v>80</v>
      </c>
      <c r="K305" s="2">
        <v>25.925925925925899</v>
      </c>
      <c r="L305" s="2">
        <v>8.75</v>
      </c>
      <c r="M305" s="2">
        <v>0.62169723344731098</v>
      </c>
      <c r="N305" s="1">
        <v>4.5666197754755902E-6</v>
      </c>
      <c r="O305" s="2">
        <v>5.3404051469844402</v>
      </c>
      <c r="P305" s="2">
        <v>14.0743749999999</v>
      </c>
      <c r="Q305" s="3">
        <v>53.883072109690097</v>
      </c>
      <c r="R305" s="2">
        <v>0.5</v>
      </c>
      <c r="S305" s="2">
        <v>21.16</v>
      </c>
      <c r="T305" s="2">
        <v>1.38</v>
      </c>
      <c r="V305" s="4">
        <f t="shared" si="19"/>
        <v>146</v>
      </c>
      <c r="W305">
        <f t="shared" si="16"/>
        <v>4</v>
      </c>
      <c r="X305">
        <f t="shared" si="17"/>
        <v>1</v>
      </c>
      <c r="Y305">
        <v>304</v>
      </c>
      <c r="Z305" s="4">
        <f t="shared" si="18"/>
        <v>296</v>
      </c>
    </row>
    <row r="306" spans="1:26" x14ac:dyDescent="0.2">
      <c r="A306" s="11">
        <v>61</v>
      </c>
      <c r="B306" s="4">
        <v>963</v>
      </c>
      <c r="C306" s="4">
        <v>3</v>
      </c>
      <c r="D306" s="4">
        <v>2</v>
      </c>
      <c r="E306" s="4">
        <v>1</v>
      </c>
      <c r="F306" s="4">
        <v>1</v>
      </c>
      <c r="G306" t="s">
        <v>282</v>
      </c>
      <c r="H306" s="4">
        <v>5</v>
      </c>
      <c r="I306" s="4">
        <v>32</v>
      </c>
      <c r="J306" s="4">
        <v>15</v>
      </c>
      <c r="K306" s="2">
        <v>15.625</v>
      </c>
      <c r="L306" s="2">
        <v>33.3333333333333</v>
      </c>
      <c r="M306" s="2">
        <v>0.82266910420475303</v>
      </c>
      <c r="N306" s="1">
        <v>3.4890255491535998E-7</v>
      </c>
      <c r="O306" s="2">
        <v>6.4572958503238</v>
      </c>
      <c r="P306" s="2">
        <v>40.518518518518498</v>
      </c>
      <c r="Q306" s="3">
        <v>132.115294748205</v>
      </c>
      <c r="R306" s="2">
        <v>41.38</v>
      </c>
      <c r="S306" s="2">
        <v>23.88</v>
      </c>
      <c r="T306" s="2">
        <v>1.56</v>
      </c>
      <c r="V306" s="4">
        <f t="shared" si="19"/>
        <v>147</v>
      </c>
      <c r="W306">
        <f t="shared" si="16"/>
        <v>4</v>
      </c>
      <c r="X306">
        <f t="shared" si="17"/>
        <v>1</v>
      </c>
      <c r="Y306">
        <v>305</v>
      </c>
      <c r="Z306" s="4">
        <f t="shared" si="18"/>
        <v>297</v>
      </c>
    </row>
    <row r="307" spans="1:26" x14ac:dyDescent="0.2">
      <c r="A307" s="11">
        <v>61</v>
      </c>
      <c r="B307" s="4">
        <v>963</v>
      </c>
      <c r="C307" s="4">
        <v>3</v>
      </c>
      <c r="D307" s="4">
        <v>2</v>
      </c>
      <c r="E307" s="4">
        <v>2</v>
      </c>
      <c r="F307" s="4">
        <v>2</v>
      </c>
      <c r="G307" t="s">
        <v>283</v>
      </c>
      <c r="H307" s="4">
        <v>3</v>
      </c>
      <c r="I307" s="4">
        <v>4</v>
      </c>
      <c r="J307" s="4">
        <v>31</v>
      </c>
      <c r="K307" s="2">
        <v>75</v>
      </c>
      <c r="L307" s="2">
        <v>9.67741935483871</v>
      </c>
      <c r="M307" s="2">
        <v>3.0618493570116301E-2</v>
      </c>
      <c r="N307" s="1">
        <v>5.9873104134049502E-6</v>
      </c>
      <c r="O307" s="2">
        <v>5.2227682251791503</v>
      </c>
      <c r="P307" s="2">
        <v>316.06451612903197</v>
      </c>
      <c r="Q307" s="3">
        <v>162.94496334722601</v>
      </c>
      <c r="R307" s="2">
        <v>1.77</v>
      </c>
      <c r="S307" s="2">
        <v>23.88</v>
      </c>
      <c r="T307" s="2">
        <v>1.56</v>
      </c>
      <c r="V307" s="4">
        <f t="shared" si="19"/>
        <v>147</v>
      </c>
      <c r="W307">
        <f t="shared" si="16"/>
        <v>4</v>
      </c>
      <c r="X307">
        <f t="shared" si="17"/>
        <v>1</v>
      </c>
      <c r="Y307">
        <v>306</v>
      </c>
      <c r="Z307" s="4">
        <f t="shared" si="18"/>
        <v>298</v>
      </c>
    </row>
    <row r="308" spans="1:26" x14ac:dyDescent="0.2">
      <c r="A308" s="11">
        <v>61</v>
      </c>
      <c r="B308" s="4">
        <v>963</v>
      </c>
      <c r="C308" s="4">
        <v>3</v>
      </c>
      <c r="D308" s="4">
        <v>2</v>
      </c>
      <c r="E308" s="4">
        <v>2</v>
      </c>
      <c r="F308" s="4">
        <v>2</v>
      </c>
      <c r="G308" t="s">
        <v>284</v>
      </c>
      <c r="H308" s="4">
        <v>2</v>
      </c>
      <c r="I308" s="4">
        <v>11</v>
      </c>
      <c r="J308" s="4">
        <v>31</v>
      </c>
      <c r="K308" s="2">
        <v>18.181818181818102</v>
      </c>
      <c r="L308" s="2">
        <v>6.4516129032257998</v>
      </c>
      <c r="M308" s="2">
        <v>0.27556644213104697</v>
      </c>
      <c r="N308" s="1">
        <v>8.9292604687722602E-3</v>
      </c>
      <c r="O308" s="2">
        <v>2.04918450837136</v>
      </c>
      <c r="P308" s="2">
        <v>23.412186379928301</v>
      </c>
      <c r="Q308" s="3">
        <v>19.100546056384701</v>
      </c>
      <c r="R308" s="2">
        <v>0.71</v>
      </c>
      <c r="S308" s="2">
        <v>23.88</v>
      </c>
      <c r="T308" s="2">
        <v>1.56</v>
      </c>
      <c r="V308" s="4">
        <f t="shared" si="19"/>
        <v>147</v>
      </c>
      <c r="W308">
        <f t="shared" si="16"/>
        <v>4</v>
      </c>
      <c r="X308">
        <f t="shared" si="17"/>
        <v>1</v>
      </c>
      <c r="Y308">
        <v>307</v>
      </c>
      <c r="Z308" s="4">
        <f t="shared" si="18"/>
        <v>298</v>
      </c>
    </row>
    <row r="309" spans="1:26" x14ac:dyDescent="0.2">
      <c r="A309" s="11">
        <v>61</v>
      </c>
      <c r="B309" s="4">
        <v>1364</v>
      </c>
      <c r="C309" s="4">
        <v>2</v>
      </c>
      <c r="D309" s="4">
        <v>2</v>
      </c>
      <c r="E309" s="4">
        <v>1</v>
      </c>
      <c r="F309" s="4">
        <v>1</v>
      </c>
      <c r="G309" t="s">
        <v>266</v>
      </c>
      <c r="H309" s="4">
        <v>4</v>
      </c>
      <c r="I309" s="4">
        <v>72</v>
      </c>
      <c r="J309" s="4">
        <v>5</v>
      </c>
      <c r="K309" s="2">
        <v>5.55555555555555</v>
      </c>
      <c r="L309" s="2">
        <v>80</v>
      </c>
      <c r="M309" s="2">
        <v>2.06561360874848</v>
      </c>
      <c r="N309" s="1">
        <v>2.0588200679493199E-6</v>
      </c>
      <c r="O309" s="2">
        <v>5.6863816072000004</v>
      </c>
      <c r="P309" s="2">
        <v>38.729411764705802</v>
      </c>
      <c r="Q309" s="3">
        <v>107.81313171289101</v>
      </c>
      <c r="R309" s="2">
        <v>19.760000000000002</v>
      </c>
      <c r="S309" s="2">
        <v>23</v>
      </c>
      <c r="T309" s="2">
        <v>1.5</v>
      </c>
      <c r="V309" s="4">
        <f t="shared" si="19"/>
        <v>148</v>
      </c>
      <c r="W309">
        <f t="shared" si="16"/>
        <v>4</v>
      </c>
      <c r="X309">
        <f t="shared" si="17"/>
        <v>1</v>
      </c>
      <c r="Y309">
        <v>308</v>
      </c>
      <c r="Z309" s="4">
        <f t="shared" si="18"/>
        <v>299</v>
      </c>
    </row>
    <row r="310" spans="1:26" x14ac:dyDescent="0.2">
      <c r="A310" s="11">
        <v>61</v>
      </c>
      <c r="B310" s="4">
        <v>1364</v>
      </c>
      <c r="C310" s="4">
        <v>2</v>
      </c>
      <c r="D310" s="4">
        <v>2</v>
      </c>
      <c r="E310" s="4">
        <v>1</v>
      </c>
      <c r="F310" s="4">
        <v>2</v>
      </c>
      <c r="G310" t="s">
        <v>285</v>
      </c>
      <c r="H310" s="4">
        <v>4</v>
      </c>
      <c r="I310" s="4">
        <v>5</v>
      </c>
      <c r="J310" s="4">
        <v>72</v>
      </c>
      <c r="K310" s="2">
        <v>80</v>
      </c>
      <c r="L310" s="2">
        <v>5.55555555555555</v>
      </c>
      <c r="M310" s="2">
        <v>3.1007751937984499E-2</v>
      </c>
      <c r="N310" s="1">
        <v>2.0588200679493199E-6</v>
      </c>
      <c r="O310" s="2">
        <v>5.6863816072000004</v>
      </c>
      <c r="P310" s="2">
        <v>179.166666666666</v>
      </c>
      <c r="Q310" s="3">
        <v>107.81313171289101</v>
      </c>
      <c r="R310" s="2">
        <v>7.0000000000000007E-2</v>
      </c>
      <c r="S310" s="2">
        <v>23</v>
      </c>
      <c r="T310" s="2">
        <v>1.5</v>
      </c>
      <c r="V310" s="4">
        <f t="shared" si="19"/>
        <v>148</v>
      </c>
      <c r="W310">
        <f t="shared" si="16"/>
        <v>4</v>
      </c>
      <c r="X310">
        <f t="shared" si="17"/>
        <v>1</v>
      </c>
      <c r="Y310">
        <v>309</v>
      </c>
      <c r="Z310" s="4">
        <f t="shared" si="18"/>
        <v>300</v>
      </c>
    </row>
    <row r="311" spans="1:26" x14ac:dyDescent="0.2">
      <c r="A311" s="11">
        <v>61</v>
      </c>
      <c r="B311" s="4">
        <v>1717</v>
      </c>
      <c r="C311" s="4">
        <v>2</v>
      </c>
      <c r="D311" s="4">
        <v>2</v>
      </c>
      <c r="E311" s="4">
        <v>1</v>
      </c>
      <c r="F311" s="4">
        <v>1</v>
      </c>
      <c r="G311" t="s">
        <v>169</v>
      </c>
      <c r="H311" s="4">
        <v>4</v>
      </c>
      <c r="I311" s="4">
        <v>10</v>
      </c>
      <c r="J311" s="4">
        <v>35</v>
      </c>
      <c r="K311" s="2">
        <v>40</v>
      </c>
      <c r="L311" s="2">
        <v>11.4285714285714</v>
      </c>
      <c r="M311" s="2">
        <v>0.183936235438381</v>
      </c>
      <c r="N311" s="1">
        <v>4.2764122819355803E-6</v>
      </c>
      <c r="O311" s="2">
        <v>5.3689204318219304</v>
      </c>
      <c r="P311" s="2">
        <v>62.133333333333297</v>
      </c>
      <c r="Q311" s="3">
        <v>109.998966121579</v>
      </c>
      <c r="R311" s="2">
        <v>0.4</v>
      </c>
      <c r="S311" s="2">
        <v>23.61</v>
      </c>
      <c r="T311" s="2">
        <v>1.54</v>
      </c>
      <c r="V311" s="4">
        <f t="shared" si="19"/>
        <v>149</v>
      </c>
      <c r="W311">
        <f t="shared" si="16"/>
        <v>4</v>
      </c>
      <c r="X311">
        <f t="shared" si="17"/>
        <v>1</v>
      </c>
      <c r="Y311">
        <v>310</v>
      </c>
      <c r="Z311" s="4">
        <f t="shared" si="18"/>
        <v>301</v>
      </c>
    </row>
    <row r="312" spans="1:26" x14ac:dyDescent="0.2">
      <c r="A312" s="11">
        <v>61</v>
      </c>
      <c r="B312" s="4">
        <v>1717</v>
      </c>
      <c r="C312" s="4">
        <v>2</v>
      </c>
      <c r="D312" s="4">
        <v>2</v>
      </c>
      <c r="E312" s="4">
        <v>1</v>
      </c>
      <c r="F312" s="4">
        <v>2</v>
      </c>
      <c r="G312" t="s">
        <v>286</v>
      </c>
      <c r="H312" s="4">
        <v>4</v>
      </c>
      <c r="I312" s="4">
        <v>35</v>
      </c>
      <c r="J312" s="4">
        <v>10</v>
      </c>
      <c r="K312" s="2">
        <v>11.4285714285714</v>
      </c>
      <c r="L312" s="2">
        <v>40</v>
      </c>
      <c r="M312" s="2">
        <v>0.94310921813203497</v>
      </c>
      <c r="N312" s="1">
        <v>4.2764122819355896E-6</v>
      </c>
      <c r="O312" s="2">
        <v>5.3689204318219304</v>
      </c>
      <c r="P312" s="2">
        <v>42.412903225806403</v>
      </c>
      <c r="Q312" s="3">
        <v>109.998966121579</v>
      </c>
      <c r="R312" s="2">
        <v>1.06</v>
      </c>
      <c r="S312" s="2">
        <v>23.61</v>
      </c>
      <c r="T312" s="2">
        <v>1.54</v>
      </c>
      <c r="V312" s="4">
        <f t="shared" si="19"/>
        <v>149</v>
      </c>
      <c r="W312">
        <f t="shared" si="16"/>
        <v>4</v>
      </c>
      <c r="X312">
        <f t="shared" si="17"/>
        <v>1</v>
      </c>
      <c r="Y312">
        <v>311</v>
      </c>
      <c r="Z312" s="4">
        <f t="shared" si="18"/>
        <v>302</v>
      </c>
    </row>
    <row r="313" spans="1:26" x14ac:dyDescent="0.2">
      <c r="A313" s="11">
        <v>62</v>
      </c>
      <c r="B313" s="4">
        <v>518</v>
      </c>
      <c r="C313" s="4">
        <v>2</v>
      </c>
      <c r="D313" s="4">
        <v>2</v>
      </c>
      <c r="E313" s="4">
        <v>1</v>
      </c>
      <c r="F313" s="4">
        <v>1</v>
      </c>
      <c r="G313" t="s">
        <v>8</v>
      </c>
      <c r="H313" s="4">
        <v>33</v>
      </c>
      <c r="I313" s="4">
        <v>223</v>
      </c>
      <c r="J313" s="4">
        <v>199</v>
      </c>
      <c r="K313" s="2">
        <v>14.7982062780269</v>
      </c>
      <c r="L313" s="2">
        <v>16.582914572864301</v>
      </c>
      <c r="M313" s="2">
        <v>6.1329890251775296</v>
      </c>
      <c r="N313" s="1">
        <v>1.28925947892354E-6</v>
      </c>
      <c r="O313" s="2">
        <v>5.8896596668795098</v>
      </c>
      <c r="P313" s="2">
        <v>2.7038878603544001</v>
      </c>
      <c r="Q313" s="3">
        <v>32.379571955841399</v>
      </c>
      <c r="R313" s="2">
        <v>36.049999999999997</v>
      </c>
      <c r="S313" s="2">
        <v>20.8</v>
      </c>
      <c r="T313" s="2">
        <v>1.36</v>
      </c>
      <c r="V313" s="4">
        <f t="shared" si="19"/>
        <v>150</v>
      </c>
      <c r="W313">
        <f t="shared" si="16"/>
        <v>4</v>
      </c>
      <c r="X313">
        <f t="shared" si="17"/>
        <v>1</v>
      </c>
      <c r="Y313">
        <v>312</v>
      </c>
      <c r="Z313" s="4">
        <f t="shared" si="18"/>
        <v>303</v>
      </c>
    </row>
    <row r="314" spans="1:26" x14ac:dyDescent="0.2">
      <c r="A314" s="11">
        <v>62</v>
      </c>
      <c r="B314" s="4">
        <v>518</v>
      </c>
      <c r="C314" s="4">
        <v>2</v>
      </c>
      <c r="D314" s="4">
        <v>2</v>
      </c>
      <c r="E314" s="4">
        <v>1</v>
      </c>
      <c r="F314" s="4">
        <v>2</v>
      </c>
      <c r="G314" t="s">
        <v>181</v>
      </c>
      <c r="H314" s="4">
        <v>33</v>
      </c>
      <c r="I314" s="4">
        <v>204</v>
      </c>
      <c r="J314" s="4">
        <v>221</v>
      </c>
      <c r="K314" s="2">
        <v>16.176470588235201</v>
      </c>
      <c r="L314" s="2">
        <v>14.932126696832499</v>
      </c>
      <c r="M314" s="2">
        <v>5.5591677503250896</v>
      </c>
      <c r="N314" s="1">
        <v>1.8808957840728999E-6</v>
      </c>
      <c r="O314" s="2">
        <v>5.72563526699928</v>
      </c>
      <c r="P314" s="2">
        <v>2.6860363578629798</v>
      </c>
      <c r="Q314" s="3">
        <v>31.206200475879299</v>
      </c>
      <c r="R314" s="2">
        <v>999</v>
      </c>
      <c r="S314" s="2">
        <v>20.8</v>
      </c>
      <c r="T314" s="2">
        <v>1.36</v>
      </c>
      <c r="V314" s="4">
        <f t="shared" si="19"/>
        <v>150</v>
      </c>
      <c r="W314">
        <f t="shared" si="16"/>
        <v>4</v>
      </c>
      <c r="X314">
        <f t="shared" si="17"/>
        <v>1</v>
      </c>
      <c r="Y314">
        <v>313</v>
      </c>
      <c r="Z314" s="4">
        <f t="shared" si="18"/>
        <v>304</v>
      </c>
    </row>
    <row r="315" spans="1:26" x14ac:dyDescent="0.2">
      <c r="A315" s="11">
        <v>62</v>
      </c>
      <c r="B315" s="4">
        <v>1670</v>
      </c>
      <c r="C315" s="4">
        <v>2</v>
      </c>
      <c r="D315" s="4">
        <v>2</v>
      </c>
      <c r="E315" s="4">
        <v>1</v>
      </c>
      <c r="F315" s="4">
        <v>1</v>
      </c>
      <c r="G315" t="s">
        <v>287</v>
      </c>
      <c r="H315" s="4">
        <v>4</v>
      </c>
      <c r="I315" s="4">
        <v>9</v>
      </c>
      <c r="J315" s="4">
        <v>48</v>
      </c>
      <c r="K315" s="2">
        <v>44.4444444444444</v>
      </c>
      <c r="L315" s="2">
        <v>8.3333333333333304</v>
      </c>
      <c r="M315" s="2">
        <v>0.15389350569405899</v>
      </c>
      <c r="N315" s="1">
        <v>9.4557854241406293E-6</v>
      </c>
      <c r="O315" s="2">
        <v>5.0243023915991296</v>
      </c>
      <c r="P315" s="2">
        <v>54.15</v>
      </c>
      <c r="Q315" s="3">
        <v>88.142694762048706</v>
      </c>
      <c r="R315" s="2">
        <v>2.2799999999999998</v>
      </c>
      <c r="S315" s="2">
        <v>18.77</v>
      </c>
      <c r="T315" s="2">
        <v>1.22</v>
      </c>
      <c r="V315" s="4">
        <f t="shared" si="19"/>
        <v>151</v>
      </c>
      <c r="W315">
        <f t="shared" si="16"/>
        <v>4</v>
      </c>
      <c r="X315">
        <f t="shared" si="17"/>
        <v>1</v>
      </c>
      <c r="Y315">
        <v>314</v>
      </c>
      <c r="Z315" s="4">
        <f t="shared" si="18"/>
        <v>305</v>
      </c>
    </row>
    <row r="316" spans="1:26" x14ac:dyDescent="0.2">
      <c r="A316" s="11">
        <v>62</v>
      </c>
      <c r="B316" s="4">
        <v>1670</v>
      </c>
      <c r="C316" s="4">
        <v>2</v>
      </c>
      <c r="D316" s="4">
        <v>2</v>
      </c>
      <c r="E316" s="4">
        <v>1</v>
      </c>
      <c r="F316" s="4">
        <v>2</v>
      </c>
      <c r="G316" t="s">
        <v>203</v>
      </c>
      <c r="H316" s="4">
        <v>4</v>
      </c>
      <c r="I316" s="4">
        <v>48</v>
      </c>
      <c r="J316" s="4">
        <v>9</v>
      </c>
      <c r="K316" s="2">
        <v>8.3333333333333304</v>
      </c>
      <c r="L316" s="2">
        <v>44.4444444444444</v>
      </c>
      <c r="M316" s="2">
        <v>1.3381995133819899</v>
      </c>
      <c r="N316" s="1">
        <v>9.4557854241406395E-6</v>
      </c>
      <c r="O316" s="2">
        <v>5.0243023915991296</v>
      </c>
      <c r="P316" s="2">
        <v>33.212121212121197</v>
      </c>
      <c r="Q316" s="3">
        <v>88.142694762048706</v>
      </c>
      <c r="R316" s="2">
        <v>3.47</v>
      </c>
      <c r="S316" s="2">
        <v>18.77</v>
      </c>
      <c r="T316" s="2">
        <v>1.22</v>
      </c>
      <c r="V316" s="4">
        <f t="shared" si="19"/>
        <v>151</v>
      </c>
      <c r="W316">
        <f t="shared" si="16"/>
        <v>4</v>
      </c>
      <c r="X316">
        <f t="shared" si="17"/>
        <v>1</v>
      </c>
      <c r="Y316">
        <v>315</v>
      </c>
      <c r="Z316" s="4">
        <f t="shared" si="18"/>
        <v>306</v>
      </c>
    </row>
    <row r="317" spans="1:26" x14ac:dyDescent="0.2">
      <c r="A317" s="11">
        <v>63</v>
      </c>
      <c r="B317" s="4">
        <v>552</v>
      </c>
      <c r="C317" s="4">
        <v>2</v>
      </c>
      <c r="D317" s="4">
        <v>2</v>
      </c>
      <c r="E317" s="4">
        <v>1</v>
      </c>
      <c r="F317" s="4">
        <v>1</v>
      </c>
      <c r="G317" t="s">
        <v>288</v>
      </c>
      <c r="H317" s="4">
        <v>8</v>
      </c>
      <c r="I317" s="4">
        <v>41</v>
      </c>
      <c r="J317" s="4">
        <v>77</v>
      </c>
      <c r="K317" s="2">
        <v>19.512195121951201</v>
      </c>
      <c r="L317" s="2">
        <v>10.389610389610301</v>
      </c>
      <c r="M317" s="2">
        <v>1.02484472049689</v>
      </c>
      <c r="N317" s="1">
        <v>6.2908333900538003E-6</v>
      </c>
      <c r="O317" s="2">
        <v>5.2012918167603797</v>
      </c>
      <c r="P317" s="2">
        <v>10.1377410468319</v>
      </c>
      <c r="Q317" s="3">
        <v>46.347308800432401</v>
      </c>
      <c r="R317" s="2">
        <v>2.76</v>
      </c>
      <c r="S317" s="2">
        <v>21.69</v>
      </c>
      <c r="T317" s="2">
        <v>1.41</v>
      </c>
      <c r="V317" s="4">
        <f t="shared" si="19"/>
        <v>152</v>
      </c>
      <c r="W317">
        <f t="shared" si="16"/>
        <v>4</v>
      </c>
      <c r="X317">
        <f t="shared" si="17"/>
        <v>1</v>
      </c>
      <c r="Y317">
        <v>316</v>
      </c>
      <c r="Z317" s="4">
        <f t="shared" si="18"/>
        <v>307</v>
      </c>
    </row>
    <row r="318" spans="1:26" x14ac:dyDescent="0.2">
      <c r="A318" s="11">
        <v>63</v>
      </c>
      <c r="B318" s="4">
        <v>552</v>
      </c>
      <c r="C318" s="4">
        <v>2</v>
      </c>
      <c r="D318" s="4">
        <v>2</v>
      </c>
      <c r="E318" s="4">
        <v>1</v>
      </c>
      <c r="F318" s="4">
        <v>2</v>
      </c>
      <c r="G318" t="s">
        <v>227</v>
      </c>
      <c r="H318" s="4">
        <v>8</v>
      </c>
      <c r="I318" s="4">
        <v>77</v>
      </c>
      <c r="J318" s="4">
        <v>41</v>
      </c>
      <c r="K318" s="2">
        <v>10.389610389610301</v>
      </c>
      <c r="L318" s="2">
        <v>19.512195121951201</v>
      </c>
      <c r="M318" s="2">
        <v>2.1191646191646099</v>
      </c>
      <c r="N318" s="1">
        <v>6.2908333900537902E-6</v>
      </c>
      <c r="O318" s="2">
        <v>5.2012918167603797</v>
      </c>
      <c r="P318" s="2">
        <v>9.2074938140685703</v>
      </c>
      <c r="Q318" s="3">
        <v>46.347308800432401</v>
      </c>
      <c r="R318" s="2">
        <v>0.46</v>
      </c>
      <c r="S318" s="2">
        <v>21.69</v>
      </c>
      <c r="T318" s="2">
        <v>1.41</v>
      </c>
      <c r="V318" s="4">
        <f t="shared" si="19"/>
        <v>152</v>
      </c>
      <c r="W318">
        <f t="shared" si="16"/>
        <v>4</v>
      </c>
      <c r="X318">
        <f t="shared" si="17"/>
        <v>1</v>
      </c>
      <c r="Y318">
        <v>317</v>
      </c>
      <c r="Z318" s="4">
        <f t="shared" si="18"/>
        <v>308</v>
      </c>
    </row>
    <row r="319" spans="1:26" x14ac:dyDescent="0.2">
      <c r="A319" s="11">
        <v>64</v>
      </c>
      <c r="B319" s="4">
        <v>41</v>
      </c>
      <c r="C319" s="4">
        <v>2</v>
      </c>
      <c r="D319" s="4">
        <v>2</v>
      </c>
      <c r="E319" s="4">
        <v>1</v>
      </c>
      <c r="F319" s="4">
        <v>1</v>
      </c>
      <c r="G319" t="s">
        <v>146</v>
      </c>
      <c r="H319" s="4">
        <v>10</v>
      </c>
      <c r="I319" s="4">
        <v>97</v>
      </c>
      <c r="J319" s="4">
        <v>44</v>
      </c>
      <c r="K319" s="2">
        <v>10.309278350515401</v>
      </c>
      <c r="L319" s="2">
        <v>22.727272727272702</v>
      </c>
      <c r="M319" s="2">
        <v>2.6744543498309201</v>
      </c>
      <c r="N319" s="1">
        <v>6.6031008234814303E-7</v>
      </c>
      <c r="O319" s="2">
        <v>6.1802520713855698</v>
      </c>
      <c r="P319" s="2">
        <v>8.4979101358411704</v>
      </c>
      <c r="Q319" s="3">
        <v>54.313452878220701</v>
      </c>
      <c r="R319" s="2">
        <v>6.27</v>
      </c>
      <c r="S319" s="2">
        <v>22.48</v>
      </c>
      <c r="T319" s="2">
        <v>1.47</v>
      </c>
      <c r="V319" s="4">
        <f t="shared" si="19"/>
        <v>153</v>
      </c>
      <c r="W319">
        <f t="shared" si="16"/>
        <v>4</v>
      </c>
      <c r="X319">
        <f t="shared" si="17"/>
        <v>1</v>
      </c>
      <c r="Y319">
        <v>318</v>
      </c>
      <c r="Z319" s="4">
        <f t="shared" si="18"/>
        <v>309</v>
      </c>
    </row>
    <row r="320" spans="1:26" x14ac:dyDescent="0.2">
      <c r="A320" s="11">
        <v>64</v>
      </c>
      <c r="B320" s="4">
        <v>41</v>
      </c>
      <c r="C320" s="4">
        <v>2</v>
      </c>
      <c r="D320" s="4">
        <v>2</v>
      </c>
      <c r="E320" s="4">
        <v>1</v>
      </c>
      <c r="F320" s="4">
        <v>2</v>
      </c>
      <c r="G320" t="s">
        <v>289</v>
      </c>
      <c r="H320" s="4">
        <v>10</v>
      </c>
      <c r="I320" s="4">
        <v>44</v>
      </c>
      <c r="J320" s="4">
        <v>95</v>
      </c>
      <c r="K320" s="2">
        <v>22.727272727272702</v>
      </c>
      <c r="L320" s="2">
        <v>10.5263157894736</v>
      </c>
      <c r="M320" s="2">
        <v>1.06183635227982</v>
      </c>
      <c r="N320" s="1">
        <v>5.4083797791222895E-7</v>
      </c>
      <c r="O320" s="2">
        <v>6.2669328196207701</v>
      </c>
      <c r="P320" s="2">
        <v>9.9133126934984492</v>
      </c>
      <c r="Q320" s="3">
        <v>55.783398053653201</v>
      </c>
      <c r="R320" s="2">
        <v>2.21</v>
      </c>
      <c r="S320" s="2">
        <v>22.48</v>
      </c>
      <c r="T320" s="2">
        <v>1.47</v>
      </c>
      <c r="V320" s="4">
        <f t="shared" si="19"/>
        <v>153</v>
      </c>
      <c r="W320">
        <f t="shared" si="16"/>
        <v>4</v>
      </c>
      <c r="X320">
        <f t="shared" si="17"/>
        <v>1</v>
      </c>
      <c r="Y320">
        <v>319</v>
      </c>
      <c r="Z320" s="4">
        <f t="shared" si="18"/>
        <v>310</v>
      </c>
    </row>
    <row r="321" spans="1:26" x14ac:dyDescent="0.2">
      <c r="A321" s="11">
        <v>64</v>
      </c>
      <c r="B321" s="4">
        <v>103</v>
      </c>
      <c r="C321" s="4">
        <v>2</v>
      </c>
      <c r="D321" s="4">
        <v>2</v>
      </c>
      <c r="E321" s="4">
        <v>1</v>
      </c>
      <c r="F321" s="4">
        <v>1</v>
      </c>
      <c r="G321" t="s">
        <v>290</v>
      </c>
      <c r="H321" s="4">
        <v>4</v>
      </c>
      <c r="I321" s="4">
        <v>25</v>
      </c>
      <c r="J321" s="4">
        <v>16</v>
      </c>
      <c r="K321" s="2">
        <v>16</v>
      </c>
      <c r="L321" s="2">
        <v>25</v>
      </c>
      <c r="M321" s="2">
        <v>0.64004876562023705</v>
      </c>
      <c r="N321" s="1">
        <v>8.8116354938431302E-6</v>
      </c>
      <c r="O321" s="2">
        <v>5.0549434763744996</v>
      </c>
      <c r="P321" s="2">
        <v>39.059523809523803</v>
      </c>
      <c r="Q321" s="3">
        <v>95.273216169654305</v>
      </c>
      <c r="R321" s="2">
        <v>0.95</v>
      </c>
      <c r="S321" s="2">
        <v>21.81</v>
      </c>
      <c r="T321" s="2">
        <v>1.42</v>
      </c>
      <c r="V321" s="4">
        <f t="shared" si="19"/>
        <v>154</v>
      </c>
      <c r="W321">
        <f t="shared" si="16"/>
        <v>4</v>
      </c>
      <c r="X321">
        <f t="shared" si="17"/>
        <v>1</v>
      </c>
      <c r="Y321">
        <v>320</v>
      </c>
      <c r="Z321" s="4">
        <f t="shared" si="18"/>
        <v>311</v>
      </c>
    </row>
    <row r="322" spans="1:26" x14ac:dyDescent="0.2">
      <c r="A322" s="11">
        <v>64</v>
      </c>
      <c r="B322" s="4">
        <v>103</v>
      </c>
      <c r="C322" s="4">
        <v>2</v>
      </c>
      <c r="D322" s="4">
        <v>2</v>
      </c>
      <c r="E322" s="4">
        <v>1</v>
      </c>
      <c r="F322" s="4">
        <v>2</v>
      </c>
      <c r="G322" t="s">
        <v>291</v>
      </c>
      <c r="H322" s="4">
        <v>4</v>
      </c>
      <c r="I322" s="4">
        <v>16</v>
      </c>
      <c r="J322" s="4">
        <v>25</v>
      </c>
      <c r="K322" s="2">
        <v>25</v>
      </c>
      <c r="L322" s="2">
        <v>16</v>
      </c>
      <c r="M322" s="2">
        <v>0.36674816625916801</v>
      </c>
      <c r="N322" s="1">
        <v>8.8116354938431302E-6</v>
      </c>
      <c r="O322" s="2">
        <v>5.0549434763744996</v>
      </c>
      <c r="P322" s="2">
        <v>43.626666666666601</v>
      </c>
      <c r="Q322" s="3">
        <v>95.273216169654305</v>
      </c>
      <c r="R322" s="2">
        <v>1.0900000000000001</v>
      </c>
      <c r="S322" s="2">
        <v>21.81</v>
      </c>
      <c r="T322" s="2">
        <v>1.42</v>
      </c>
      <c r="V322" s="4">
        <f t="shared" si="19"/>
        <v>154</v>
      </c>
      <c r="W322">
        <f t="shared" si="16"/>
        <v>4</v>
      </c>
      <c r="X322">
        <f t="shared" si="17"/>
        <v>1</v>
      </c>
      <c r="Y322">
        <v>321</v>
      </c>
      <c r="Z322" s="4">
        <f t="shared" si="18"/>
        <v>312</v>
      </c>
    </row>
    <row r="323" spans="1:26" x14ac:dyDescent="0.2">
      <c r="A323" s="11">
        <v>64</v>
      </c>
      <c r="B323" s="4">
        <v>702</v>
      </c>
      <c r="C323" s="4">
        <v>2</v>
      </c>
      <c r="D323" s="4">
        <v>2</v>
      </c>
      <c r="E323" s="4">
        <v>1</v>
      </c>
      <c r="F323" s="4">
        <v>1</v>
      </c>
      <c r="G323" t="s">
        <v>292</v>
      </c>
      <c r="H323" s="4">
        <v>4</v>
      </c>
      <c r="I323" s="4">
        <v>81</v>
      </c>
      <c r="J323" s="4">
        <v>5</v>
      </c>
      <c r="K323" s="2">
        <v>4.9382716049382704</v>
      </c>
      <c r="L323" s="2">
        <v>80</v>
      </c>
      <c r="M323" s="2">
        <v>2.3390036452004801</v>
      </c>
      <c r="N323" s="1">
        <v>3.32208335986307E-6</v>
      </c>
      <c r="O323" s="2">
        <v>5.4785894741500201</v>
      </c>
      <c r="P323" s="2">
        <v>34.202597402597398</v>
      </c>
      <c r="Q323" s="3">
        <v>95.329978819135803</v>
      </c>
      <c r="R323" s="2">
        <v>3.82</v>
      </c>
      <c r="S323" s="2">
        <v>23.09</v>
      </c>
      <c r="T323" s="2">
        <v>1.5</v>
      </c>
      <c r="V323" s="4">
        <f t="shared" si="19"/>
        <v>155</v>
      </c>
      <c r="W323">
        <f t="shared" ref="W323:W386" si="20">IF(AND(B323&lt;&gt;B322,D323&gt;2),W322+1,W322)</f>
        <v>4</v>
      </c>
      <c r="X323">
        <f t="shared" ref="X323:X386" si="21">IF(AND(B323&lt;&gt;B322,D323&gt;3),X322+1,X322)</f>
        <v>1</v>
      </c>
      <c r="Y323">
        <v>322</v>
      </c>
      <c r="Z323" s="4">
        <f t="shared" ref="Z323:Z386" si="22">IF(F323&lt;&gt;F322,Z322+1,Z322)</f>
        <v>313</v>
      </c>
    </row>
    <row r="324" spans="1:26" x14ac:dyDescent="0.2">
      <c r="A324" s="11">
        <v>64</v>
      </c>
      <c r="B324" s="4">
        <v>702</v>
      </c>
      <c r="C324" s="4">
        <v>2</v>
      </c>
      <c r="D324" s="4">
        <v>2</v>
      </c>
      <c r="E324" s="4">
        <v>1</v>
      </c>
      <c r="F324" s="4">
        <v>2</v>
      </c>
      <c r="G324" t="s">
        <v>293</v>
      </c>
      <c r="H324" s="4">
        <v>4</v>
      </c>
      <c r="I324" s="4">
        <v>5</v>
      </c>
      <c r="J324" s="4">
        <v>81</v>
      </c>
      <c r="K324" s="2">
        <v>80</v>
      </c>
      <c r="L324" s="2">
        <v>4.9382716049382704</v>
      </c>
      <c r="M324" s="2">
        <v>3.1094527363184001E-2</v>
      </c>
      <c r="N324" s="1">
        <v>3.32208335986307E-6</v>
      </c>
      <c r="O324" s="2">
        <v>5.4785894741500201</v>
      </c>
      <c r="P324" s="2">
        <v>158.81481481481401</v>
      </c>
      <c r="Q324" s="3">
        <v>95.329978819135803</v>
      </c>
      <c r="R324" s="2">
        <v>1.02</v>
      </c>
      <c r="S324" s="2">
        <v>23.09</v>
      </c>
      <c r="T324" s="2">
        <v>1.5</v>
      </c>
      <c r="V324" s="4">
        <f t="shared" ref="V324:V387" si="23">IF(F324=1,V323+1,V323)</f>
        <v>155</v>
      </c>
      <c r="W324">
        <f t="shared" si="20"/>
        <v>4</v>
      </c>
      <c r="X324">
        <f t="shared" si="21"/>
        <v>1</v>
      </c>
      <c r="Y324">
        <v>323</v>
      </c>
      <c r="Z324" s="4">
        <f t="shared" si="22"/>
        <v>314</v>
      </c>
    </row>
    <row r="325" spans="1:26" x14ac:dyDescent="0.2">
      <c r="A325" s="11">
        <v>64</v>
      </c>
      <c r="B325" s="4">
        <v>2658</v>
      </c>
      <c r="C325" s="4">
        <v>2</v>
      </c>
      <c r="D325" s="4">
        <v>2</v>
      </c>
      <c r="E325" s="4">
        <v>1</v>
      </c>
      <c r="F325" s="4">
        <v>1</v>
      </c>
      <c r="G325" t="s">
        <v>294</v>
      </c>
      <c r="H325" s="4">
        <v>5</v>
      </c>
      <c r="I325" s="4">
        <v>36</v>
      </c>
      <c r="J325" s="4">
        <v>17</v>
      </c>
      <c r="K325" s="2">
        <v>13.8888888888888</v>
      </c>
      <c r="L325" s="2">
        <v>29.411764705882302</v>
      </c>
      <c r="M325" s="2">
        <v>0.94512195121951204</v>
      </c>
      <c r="N325" s="1">
        <v>1.3114497557693101E-6</v>
      </c>
      <c r="O325" s="2">
        <v>5.8822483434343802</v>
      </c>
      <c r="P325" s="2">
        <v>31.119544592030302</v>
      </c>
      <c r="Q325" s="3">
        <v>101.910023493832</v>
      </c>
      <c r="R325" s="2">
        <v>17.47</v>
      </c>
      <c r="S325" s="2">
        <v>20.49</v>
      </c>
      <c r="T325" s="2">
        <v>1.34</v>
      </c>
      <c r="V325" s="4">
        <f t="shared" si="23"/>
        <v>156</v>
      </c>
      <c r="W325">
        <f t="shared" si="20"/>
        <v>4</v>
      </c>
      <c r="X325">
        <f t="shared" si="21"/>
        <v>1</v>
      </c>
      <c r="Y325">
        <v>324</v>
      </c>
      <c r="Z325" s="4">
        <f t="shared" si="22"/>
        <v>315</v>
      </c>
    </row>
    <row r="326" spans="1:26" x14ac:dyDescent="0.2">
      <c r="A326" s="11">
        <v>64</v>
      </c>
      <c r="B326" s="4">
        <v>2658</v>
      </c>
      <c r="C326" s="4">
        <v>2</v>
      </c>
      <c r="D326" s="4">
        <v>2</v>
      </c>
      <c r="E326" s="4">
        <v>1</v>
      </c>
      <c r="F326" s="4">
        <v>2</v>
      </c>
      <c r="G326" t="s">
        <v>295</v>
      </c>
      <c r="H326" s="4">
        <v>5</v>
      </c>
      <c r="I326" s="4">
        <v>17</v>
      </c>
      <c r="J326" s="4">
        <v>35</v>
      </c>
      <c r="K326" s="2">
        <v>29.411764705882302</v>
      </c>
      <c r="L326" s="2">
        <v>14.285714285714199</v>
      </c>
      <c r="M326" s="2">
        <v>0.367872470876762</v>
      </c>
      <c r="N326" s="1">
        <v>1.13276274165934E-6</v>
      </c>
      <c r="O326" s="2">
        <v>5.9458610440450697</v>
      </c>
      <c r="P326" s="2">
        <v>38.8333333333333</v>
      </c>
      <c r="Q326" s="3">
        <v>105.04022646296799</v>
      </c>
      <c r="R326" s="2">
        <v>5.07</v>
      </c>
      <c r="S326" s="2">
        <v>20.49</v>
      </c>
      <c r="T326" s="2">
        <v>1.34</v>
      </c>
      <c r="V326" s="4">
        <f t="shared" si="23"/>
        <v>156</v>
      </c>
      <c r="W326">
        <f t="shared" si="20"/>
        <v>4</v>
      </c>
      <c r="X326">
        <f t="shared" si="21"/>
        <v>1</v>
      </c>
      <c r="Y326">
        <v>325</v>
      </c>
      <c r="Z326" s="4">
        <f t="shared" si="22"/>
        <v>316</v>
      </c>
    </row>
    <row r="327" spans="1:26" x14ac:dyDescent="0.2">
      <c r="A327" s="11">
        <v>65</v>
      </c>
      <c r="B327" s="4">
        <v>412</v>
      </c>
      <c r="C327" s="4">
        <v>2</v>
      </c>
      <c r="D327" s="4">
        <v>2</v>
      </c>
      <c r="E327" s="4">
        <v>1</v>
      </c>
      <c r="F327" s="4">
        <v>1</v>
      </c>
      <c r="G327" t="s">
        <v>107</v>
      </c>
      <c r="H327" s="4">
        <v>9</v>
      </c>
      <c r="I327" s="4">
        <v>85</v>
      </c>
      <c r="J327" s="4">
        <v>42</v>
      </c>
      <c r="K327" s="2">
        <v>10.588235294117601</v>
      </c>
      <c r="L327" s="2">
        <v>21.428571428571399</v>
      </c>
      <c r="M327" s="2">
        <v>2.3348694316436198</v>
      </c>
      <c r="N327" s="1">
        <v>1.46141060355734E-6</v>
      </c>
      <c r="O327" s="2">
        <v>5.83522774586877</v>
      </c>
      <c r="P327" s="2">
        <v>9.1776315789473593</v>
      </c>
      <c r="Q327" s="3">
        <v>52.825276232274099</v>
      </c>
      <c r="R327" s="2">
        <v>28.79</v>
      </c>
      <c r="S327" s="2">
        <v>22.21</v>
      </c>
      <c r="T327" s="2">
        <v>1.45</v>
      </c>
      <c r="V327" s="4">
        <f t="shared" si="23"/>
        <v>157</v>
      </c>
      <c r="W327">
        <f t="shared" si="20"/>
        <v>4</v>
      </c>
      <c r="X327">
        <f t="shared" si="21"/>
        <v>1</v>
      </c>
      <c r="Y327">
        <v>326</v>
      </c>
      <c r="Z327" s="4">
        <f t="shared" si="22"/>
        <v>317</v>
      </c>
    </row>
    <row r="328" spans="1:26" x14ac:dyDescent="0.2">
      <c r="A328" s="11">
        <v>65</v>
      </c>
      <c r="B328" s="4">
        <v>412</v>
      </c>
      <c r="C328" s="4">
        <v>2</v>
      </c>
      <c r="D328" s="4">
        <v>2</v>
      </c>
      <c r="E328" s="4">
        <v>1</v>
      </c>
      <c r="F328" s="4">
        <v>2</v>
      </c>
      <c r="G328" t="s">
        <v>296</v>
      </c>
      <c r="H328" s="4">
        <v>9</v>
      </c>
      <c r="I328" s="4">
        <v>45</v>
      </c>
      <c r="J328" s="4">
        <v>84</v>
      </c>
      <c r="K328" s="2">
        <v>20</v>
      </c>
      <c r="L328" s="2">
        <v>10.714285714285699</v>
      </c>
      <c r="M328" s="2">
        <v>1.1204481792717</v>
      </c>
      <c r="N328" s="1">
        <v>2.4624843738407099E-6</v>
      </c>
      <c r="O328" s="2">
        <v>5.6086265167191902</v>
      </c>
      <c r="P328" s="2">
        <v>9.5625</v>
      </c>
      <c r="Q328" s="3">
        <v>49.067321224478498</v>
      </c>
      <c r="R328" s="2">
        <v>3.43</v>
      </c>
      <c r="S328" s="2">
        <v>22.21</v>
      </c>
      <c r="T328" s="2">
        <v>1.45</v>
      </c>
      <c r="V328" s="4">
        <f t="shared" si="23"/>
        <v>157</v>
      </c>
      <c r="W328">
        <f t="shared" si="20"/>
        <v>4</v>
      </c>
      <c r="X328">
        <f t="shared" si="21"/>
        <v>1</v>
      </c>
      <c r="Y328">
        <v>327</v>
      </c>
      <c r="Z328" s="4">
        <f t="shared" si="22"/>
        <v>318</v>
      </c>
    </row>
    <row r="329" spans="1:26" x14ac:dyDescent="0.2">
      <c r="A329" s="11">
        <v>65</v>
      </c>
      <c r="B329" s="4">
        <v>1076</v>
      </c>
      <c r="C329" s="4">
        <v>2</v>
      </c>
      <c r="D329" s="4">
        <v>2</v>
      </c>
      <c r="E329" s="4">
        <v>1</v>
      </c>
      <c r="F329" s="4">
        <v>1</v>
      </c>
      <c r="G329" t="s">
        <v>297</v>
      </c>
      <c r="H329" s="4">
        <v>6</v>
      </c>
      <c r="I329" s="4">
        <v>20</v>
      </c>
      <c r="J329" s="4">
        <v>67</v>
      </c>
      <c r="K329" s="2">
        <v>30</v>
      </c>
      <c r="L329" s="2">
        <v>8.9552238805970106</v>
      </c>
      <c r="M329" s="2">
        <v>0.433436532507739</v>
      </c>
      <c r="N329" s="1">
        <v>3.48174320939604E-6</v>
      </c>
      <c r="O329" s="2">
        <v>5.4582032627576798</v>
      </c>
      <c r="P329" s="2">
        <v>20.660980810234499</v>
      </c>
      <c r="Q329" s="3">
        <v>65.556781270556797</v>
      </c>
      <c r="R329" s="2">
        <v>0.41</v>
      </c>
      <c r="S329" s="2">
        <v>22.3</v>
      </c>
      <c r="T329" s="2">
        <v>1.45</v>
      </c>
      <c r="V329" s="4">
        <f t="shared" si="23"/>
        <v>158</v>
      </c>
      <c r="W329">
        <f t="shared" si="20"/>
        <v>4</v>
      </c>
      <c r="X329">
        <f t="shared" si="21"/>
        <v>1</v>
      </c>
      <c r="Y329">
        <v>328</v>
      </c>
      <c r="Z329" s="4">
        <f t="shared" si="22"/>
        <v>319</v>
      </c>
    </row>
    <row r="330" spans="1:26" x14ac:dyDescent="0.2">
      <c r="A330" s="11">
        <v>65</v>
      </c>
      <c r="B330" s="4">
        <v>1076</v>
      </c>
      <c r="C330" s="4">
        <v>2</v>
      </c>
      <c r="D330" s="4">
        <v>2</v>
      </c>
      <c r="E330" s="4">
        <v>1</v>
      </c>
      <c r="F330" s="4">
        <v>2</v>
      </c>
      <c r="G330" t="s">
        <v>62</v>
      </c>
      <c r="H330" s="4">
        <v>6</v>
      </c>
      <c r="I330" s="4">
        <v>67</v>
      </c>
      <c r="J330" s="4">
        <v>19</v>
      </c>
      <c r="K330" s="2">
        <v>8.9552238805970106</v>
      </c>
      <c r="L330" s="2">
        <v>31.578947368421002</v>
      </c>
      <c r="M330" s="2">
        <v>1.86089078706528</v>
      </c>
      <c r="N330" s="1">
        <v>2.47652546274781E-6</v>
      </c>
      <c r="O330" s="2">
        <v>5.6061572023982498</v>
      </c>
      <c r="P330" s="2">
        <v>16.969801553062901</v>
      </c>
      <c r="Q330" s="3">
        <v>69.537643790186706</v>
      </c>
      <c r="R330" s="2">
        <v>11.48</v>
      </c>
      <c r="S330" s="2">
        <v>22.3</v>
      </c>
      <c r="T330" s="2">
        <v>1.45</v>
      </c>
      <c r="V330" s="4">
        <f t="shared" si="23"/>
        <v>158</v>
      </c>
      <c r="W330">
        <f t="shared" si="20"/>
        <v>4</v>
      </c>
      <c r="X330">
        <f t="shared" si="21"/>
        <v>1</v>
      </c>
      <c r="Y330">
        <v>329</v>
      </c>
      <c r="Z330" s="4">
        <f t="shared" si="22"/>
        <v>320</v>
      </c>
    </row>
    <row r="331" spans="1:26" x14ac:dyDescent="0.2">
      <c r="A331" s="11">
        <v>65</v>
      </c>
      <c r="B331" s="4">
        <v>1832</v>
      </c>
      <c r="C331" s="4">
        <v>2</v>
      </c>
      <c r="D331" s="4">
        <v>2</v>
      </c>
      <c r="E331" s="4">
        <v>1</v>
      </c>
      <c r="F331" s="4">
        <v>1</v>
      </c>
      <c r="G331" t="s">
        <v>298</v>
      </c>
      <c r="H331" s="4">
        <v>5</v>
      </c>
      <c r="I331" s="4">
        <v>6</v>
      </c>
      <c r="J331" s="4">
        <v>199</v>
      </c>
      <c r="K331" s="2">
        <v>83.3333333333333</v>
      </c>
      <c r="L331" s="2">
        <v>2.5125628140703502</v>
      </c>
      <c r="M331" s="2">
        <v>3.22788896061975E-2</v>
      </c>
      <c r="N331" s="1">
        <v>8.7158608136432299E-6</v>
      </c>
      <c r="O331" s="2">
        <v>5.0596897137572796</v>
      </c>
      <c r="P331" s="2">
        <v>77.8391959798995</v>
      </c>
      <c r="Q331" s="3">
        <v>50.407278398516901</v>
      </c>
      <c r="R331" s="2">
        <v>1.1000000000000001</v>
      </c>
      <c r="S331" s="2">
        <v>21.5</v>
      </c>
      <c r="T331" s="2">
        <v>1.4</v>
      </c>
      <c r="V331" s="4">
        <f t="shared" si="23"/>
        <v>159</v>
      </c>
      <c r="W331">
        <f t="shared" si="20"/>
        <v>4</v>
      </c>
      <c r="X331">
        <f t="shared" si="21"/>
        <v>1</v>
      </c>
      <c r="Y331">
        <v>330</v>
      </c>
      <c r="Z331" s="4">
        <f t="shared" si="22"/>
        <v>321</v>
      </c>
    </row>
    <row r="332" spans="1:26" x14ac:dyDescent="0.2">
      <c r="A332" s="11">
        <v>65</v>
      </c>
      <c r="B332" s="4">
        <v>1832</v>
      </c>
      <c r="C332" s="4">
        <v>2</v>
      </c>
      <c r="D332" s="4">
        <v>2</v>
      </c>
      <c r="E332" s="4">
        <v>1</v>
      </c>
      <c r="F332" s="4">
        <v>2</v>
      </c>
      <c r="G332" t="s">
        <v>181</v>
      </c>
      <c r="H332" s="4">
        <v>5</v>
      </c>
      <c r="I332" s="4">
        <v>204</v>
      </c>
      <c r="J332" s="4">
        <v>6</v>
      </c>
      <c r="K332" s="2">
        <v>2.4509803921568598</v>
      </c>
      <c r="L332" s="2">
        <v>83.3333333333333</v>
      </c>
      <c r="M332" s="2">
        <v>6.04679428745062</v>
      </c>
      <c r="N332" s="1">
        <v>9.8664354920761098E-6</v>
      </c>
      <c r="O332" s="2">
        <v>5.0058397192376001</v>
      </c>
      <c r="P332" s="2">
        <v>13.7814070351758</v>
      </c>
      <c r="Q332" s="3">
        <v>49.034924682748802</v>
      </c>
      <c r="R332" s="2">
        <v>999</v>
      </c>
      <c r="S332" s="2">
        <v>21.5</v>
      </c>
      <c r="T332" s="2">
        <v>1.4</v>
      </c>
      <c r="V332" s="4">
        <f t="shared" si="23"/>
        <v>159</v>
      </c>
      <c r="W332">
        <f t="shared" si="20"/>
        <v>4</v>
      </c>
      <c r="X332">
        <f t="shared" si="21"/>
        <v>1</v>
      </c>
      <c r="Y332">
        <v>331</v>
      </c>
      <c r="Z332" s="4">
        <f t="shared" si="22"/>
        <v>322</v>
      </c>
    </row>
    <row r="333" spans="1:26" x14ac:dyDescent="0.2">
      <c r="A333" s="11">
        <v>66</v>
      </c>
      <c r="B333" s="4">
        <v>125</v>
      </c>
      <c r="C333" s="4">
        <v>2</v>
      </c>
      <c r="D333" s="4">
        <v>2</v>
      </c>
      <c r="E333" s="4">
        <v>1</v>
      </c>
      <c r="F333" s="4">
        <v>1</v>
      </c>
      <c r="G333" t="s">
        <v>299</v>
      </c>
      <c r="H333" s="4">
        <v>7</v>
      </c>
      <c r="I333" s="4">
        <v>36</v>
      </c>
      <c r="J333" s="4">
        <v>36</v>
      </c>
      <c r="K333" s="2">
        <v>19.4444444444444</v>
      </c>
      <c r="L333" s="2">
        <v>19.4444444444444</v>
      </c>
      <c r="M333" s="2">
        <v>0.88929776142287598</v>
      </c>
      <c r="N333" s="1">
        <v>1.3329499353688599E-7</v>
      </c>
      <c r="O333" s="2">
        <v>6.8751861620650203</v>
      </c>
      <c r="P333" s="2">
        <v>21.8649425287356</v>
      </c>
      <c r="Q333" s="3">
        <v>96.982649926962296</v>
      </c>
      <c r="R333" s="2">
        <v>7.84</v>
      </c>
      <c r="S333" s="2">
        <v>21.75</v>
      </c>
      <c r="T333" s="2">
        <v>1.42</v>
      </c>
      <c r="V333" s="4">
        <f t="shared" si="23"/>
        <v>160</v>
      </c>
      <c r="W333">
        <f t="shared" si="20"/>
        <v>4</v>
      </c>
      <c r="X333">
        <f t="shared" si="21"/>
        <v>1</v>
      </c>
      <c r="Y333">
        <v>332</v>
      </c>
      <c r="Z333" s="4">
        <f t="shared" si="22"/>
        <v>323</v>
      </c>
    </row>
    <row r="334" spans="1:26" x14ac:dyDescent="0.2">
      <c r="A334" s="11">
        <v>66</v>
      </c>
      <c r="B334" s="4">
        <v>125</v>
      </c>
      <c r="C334" s="4">
        <v>2</v>
      </c>
      <c r="D334" s="4">
        <v>2</v>
      </c>
      <c r="E334" s="4">
        <v>1</v>
      </c>
      <c r="F334" s="4">
        <v>2</v>
      </c>
      <c r="G334" t="s">
        <v>300</v>
      </c>
      <c r="H334" s="4">
        <v>7</v>
      </c>
      <c r="I334" s="4">
        <v>37</v>
      </c>
      <c r="J334" s="4">
        <v>35</v>
      </c>
      <c r="K334" s="2">
        <v>18.918918918918902</v>
      </c>
      <c r="L334" s="2">
        <v>20</v>
      </c>
      <c r="M334" s="2">
        <v>0.91968117719190601</v>
      </c>
      <c r="N334" s="1">
        <v>1.3246641231816501E-7</v>
      </c>
      <c r="O334" s="2">
        <v>6.8778942258330504</v>
      </c>
      <c r="P334" s="2">
        <v>21.746666666666599</v>
      </c>
      <c r="Q334" s="3">
        <v>97.067190290259902</v>
      </c>
      <c r="R334" s="2">
        <v>0.66</v>
      </c>
      <c r="S334" s="2">
        <v>21.75</v>
      </c>
      <c r="T334" s="2">
        <v>1.42</v>
      </c>
      <c r="V334" s="4">
        <f t="shared" si="23"/>
        <v>160</v>
      </c>
      <c r="W334">
        <f t="shared" si="20"/>
        <v>4</v>
      </c>
      <c r="X334">
        <f t="shared" si="21"/>
        <v>1</v>
      </c>
      <c r="Y334">
        <v>333</v>
      </c>
      <c r="Z334" s="4">
        <f t="shared" si="22"/>
        <v>324</v>
      </c>
    </row>
    <row r="335" spans="1:26" x14ac:dyDescent="0.2">
      <c r="A335" s="11">
        <v>66</v>
      </c>
      <c r="B335" s="4">
        <v>1014</v>
      </c>
      <c r="C335" s="4">
        <v>2</v>
      </c>
      <c r="D335" s="4">
        <v>2</v>
      </c>
      <c r="E335" s="4">
        <v>1</v>
      </c>
      <c r="F335" s="4">
        <v>1</v>
      </c>
      <c r="G335" t="s">
        <v>150</v>
      </c>
      <c r="H335" s="4">
        <v>4</v>
      </c>
      <c r="I335" s="4">
        <v>105</v>
      </c>
      <c r="J335" s="4">
        <v>4</v>
      </c>
      <c r="K335" s="2">
        <v>3.8095238095238</v>
      </c>
      <c r="L335" s="2">
        <v>100</v>
      </c>
      <c r="M335" s="2">
        <v>3.0671120558761</v>
      </c>
      <c r="N335" s="1">
        <v>1.9453818808399102E-6</v>
      </c>
      <c r="O335" s="2">
        <v>5.7109951334322</v>
      </c>
      <c r="P335" s="2">
        <v>32.603960396039597</v>
      </c>
      <c r="Q335" s="3">
        <v>92.339083927030202</v>
      </c>
      <c r="R335" s="2">
        <v>10.6</v>
      </c>
      <c r="S335" s="2">
        <v>23</v>
      </c>
      <c r="T335" s="2">
        <v>1.5</v>
      </c>
      <c r="V335" s="4">
        <f t="shared" si="23"/>
        <v>161</v>
      </c>
      <c r="W335">
        <f t="shared" si="20"/>
        <v>4</v>
      </c>
      <c r="X335">
        <f t="shared" si="21"/>
        <v>1</v>
      </c>
      <c r="Y335">
        <v>334</v>
      </c>
      <c r="Z335" s="4">
        <f t="shared" si="22"/>
        <v>325</v>
      </c>
    </row>
    <row r="336" spans="1:26" x14ac:dyDescent="0.2">
      <c r="A336" s="11">
        <v>66</v>
      </c>
      <c r="B336" s="4">
        <v>1014</v>
      </c>
      <c r="C336" s="4">
        <v>2</v>
      </c>
      <c r="D336" s="4">
        <v>2</v>
      </c>
      <c r="E336" s="4">
        <v>1</v>
      </c>
      <c r="F336" s="4">
        <v>2</v>
      </c>
      <c r="G336" t="s">
        <v>301</v>
      </c>
      <c r="H336" s="4">
        <v>4</v>
      </c>
      <c r="I336" s="4">
        <v>4</v>
      </c>
      <c r="J336" s="4">
        <v>103</v>
      </c>
      <c r="K336" s="2">
        <v>100</v>
      </c>
      <c r="L336" s="2">
        <v>3.88349514563106</v>
      </c>
      <c r="M336" s="2">
        <v>0</v>
      </c>
      <c r="N336" s="1">
        <v>1.79930009125303E-6</v>
      </c>
      <c r="O336" s="2">
        <v>5.7448963980182803</v>
      </c>
      <c r="P336" s="2" t="s">
        <v>302</v>
      </c>
      <c r="Q336" s="3">
        <v>94.208544588303596</v>
      </c>
      <c r="R336" s="2">
        <v>0.34</v>
      </c>
      <c r="S336" s="2">
        <v>23</v>
      </c>
      <c r="T336" s="2">
        <v>1.5</v>
      </c>
      <c r="V336" s="4">
        <f t="shared" si="23"/>
        <v>161</v>
      </c>
      <c r="W336">
        <f t="shared" si="20"/>
        <v>4</v>
      </c>
      <c r="X336">
        <f t="shared" si="21"/>
        <v>1</v>
      </c>
      <c r="Y336">
        <v>335</v>
      </c>
      <c r="Z336" s="4">
        <f t="shared" si="22"/>
        <v>326</v>
      </c>
    </row>
    <row r="337" spans="1:26" x14ac:dyDescent="0.2">
      <c r="A337" s="11">
        <v>66</v>
      </c>
      <c r="B337" s="4">
        <v>1897</v>
      </c>
      <c r="C337" s="4">
        <v>2</v>
      </c>
      <c r="D337" s="4">
        <v>2</v>
      </c>
      <c r="E337" s="4">
        <v>1</v>
      </c>
      <c r="F337" s="4">
        <v>1</v>
      </c>
      <c r="G337" t="s">
        <v>303</v>
      </c>
      <c r="H337" s="4">
        <v>6</v>
      </c>
      <c r="I337" s="4">
        <v>8</v>
      </c>
      <c r="J337" s="4">
        <v>212</v>
      </c>
      <c r="K337" s="2">
        <v>75</v>
      </c>
      <c r="L337" s="2">
        <v>2.8301886792452802</v>
      </c>
      <c r="M337" s="2">
        <v>6.4829821717990205E-2</v>
      </c>
      <c r="N337" s="1">
        <v>3.31583158077828E-6</v>
      </c>
      <c r="O337" s="2">
        <v>5.4794075364438903</v>
      </c>
      <c r="P337" s="2">
        <v>43.655660377358402</v>
      </c>
      <c r="Q337" s="3">
        <v>51.766116935800802</v>
      </c>
      <c r="R337" s="2">
        <v>0.66</v>
      </c>
      <c r="S337" s="2">
        <v>21.98</v>
      </c>
      <c r="T337" s="2">
        <v>1.43</v>
      </c>
      <c r="V337" s="4">
        <f t="shared" si="23"/>
        <v>162</v>
      </c>
      <c r="W337">
        <f t="shared" si="20"/>
        <v>4</v>
      </c>
      <c r="X337">
        <f t="shared" si="21"/>
        <v>1</v>
      </c>
      <c r="Y337">
        <v>336</v>
      </c>
      <c r="Z337" s="4">
        <f t="shared" si="22"/>
        <v>327</v>
      </c>
    </row>
    <row r="338" spans="1:26" x14ac:dyDescent="0.2">
      <c r="A338" s="11">
        <v>66</v>
      </c>
      <c r="B338" s="4">
        <v>1897</v>
      </c>
      <c r="C338" s="4">
        <v>2</v>
      </c>
      <c r="D338" s="4">
        <v>2</v>
      </c>
      <c r="E338" s="4">
        <v>1</v>
      </c>
      <c r="F338" s="4">
        <v>2</v>
      </c>
      <c r="G338" t="s">
        <v>93</v>
      </c>
      <c r="H338" s="4">
        <v>6</v>
      </c>
      <c r="I338" s="4">
        <v>216</v>
      </c>
      <c r="J338" s="4">
        <v>8</v>
      </c>
      <c r="K338" s="2">
        <v>2.7777777777777701</v>
      </c>
      <c r="L338" s="2">
        <v>75</v>
      </c>
      <c r="M338" s="2">
        <v>6.3849194283976898</v>
      </c>
      <c r="N338" s="1">
        <v>3.7061512368185399E-6</v>
      </c>
      <c r="O338" s="2">
        <v>5.4310768624117198</v>
      </c>
      <c r="P338" s="2">
        <v>11.746428571428501</v>
      </c>
      <c r="Q338" s="3">
        <v>50.675562671502597</v>
      </c>
      <c r="R338" s="2">
        <v>4.8600000000000003</v>
      </c>
      <c r="S338" s="2">
        <v>21.98</v>
      </c>
      <c r="T338" s="2">
        <v>1.43</v>
      </c>
      <c r="V338" s="4">
        <f t="shared" si="23"/>
        <v>162</v>
      </c>
      <c r="W338">
        <f t="shared" si="20"/>
        <v>4</v>
      </c>
      <c r="X338">
        <f t="shared" si="21"/>
        <v>1</v>
      </c>
      <c r="Y338">
        <v>337</v>
      </c>
      <c r="Z338" s="4">
        <f t="shared" si="22"/>
        <v>328</v>
      </c>
    </row>
    <row r="339" spans="1:26" x14ac:dyDescent="0.2">
      <c r="A339" s="11">
        <v>66</v>
      </c>
      <c r="B339" s="4">
        <v>2994</v>
      </c>
      <c r="C339" s="4">
        <v>2</v>
      </c>
      <c r="D339" s="4">
        <v>2</v>
      </c>
      <c r="E339" s="4">
        <v>1</v>
      </c>
      <c r="F339" s="4">
        <v>1</v>
      </c>
      <c r="G339" t="s">
        <v>304</v>
      </c>
      <c r="H339" s="4">
        <v>5</v>
      </c>
      <c r="I339" s="4">
        <v>38</v>
      </c>
      <c r="J339" s="4">
        <v>12</v>
      </c>
      <c r="K339" s="2">
        <v>13.157894736842101</v>
      </c>
      <c r="L339" s="2">
        <v>41.6666666666666</v>
      </c>
      <c r="M339" s="2">
        <v>1.00456621004566</v>
      </c>
      <c r="N339" s="1">
        <v>2.3163788031093901E-7</v>
      </c>
      <c r="O339" s="2">
        <v>6.6351904178945702</v>
      </c>
      <c r="P339" s="2">
        <v>41.477272727272698</v>
      </c>
      <c r="Q339" s="3">
        <v>139.66331399703199</v>
      </c>
      <c r="R339" s="2">
        <v>0.71</v>
      </c>
      <c r="S339" s="2">
        <v>20.8</v>
      </c>
      <c r="T339" s="2">
        <v>1.36</v>
      </c>
      <c r="V339" s="4">
        <f t="shared" si="23"/>
        <v>163</v>
      </c>
      <c r="W339">
        <f t="shared" si="20"/>
        <v>4</v>
      </c>
      <c r="X339">
        <f t="shared" si="21"/>
        <v>1</v>
      </c>
      <c r="Y339">
        <v>338</v>
      </c>
      <c r="Z339" s="4">
        <f t="shared" si="22"/>
        <v>329</v>
      </c>
    </row>
    <row r="340" spans="1:26" x14ac:dyDescent="0.2">
      <c r="A340" s="11">
        <v>66</v>
      </c>
      <c r="B340" s="4">
        <v>2994</v>
      </c>
      <c r="C340" s="4">
        <v>2</v>
      </c>
      <c r="D340" s="4">
        <v>2</v>
      </c>
      <c r="E340" s="4">
        <v>1</v>
      </c>
      <c r="F340" s="4">
        <v>2</v>
      </c>
      <c r="G340" t="s">
        <v>305</v>
      </c>
      <c r="H340" s="4">
        <v>5</v>
      </c>
      <c r="I340" s="4">
        <v>12</v>
      </c>
      <c r="J340" s="4">
        <v>37</v>
      </c>
      <c r="K340" s="2">
        <v>41.6666666666666</v>
      </c>
      <c r="L340" s="2">
        <v>13.5135135135135</v>
      </c>
      <c r="M340" s="2">
        <v>0.214723926380368</v>
      </c>
      <c r="N340" s="1">
        <v>2.01518701911757E-7</v>
      </c>
      <c r="O340" s="2">
        <v>6.6956846430207397</v>
      </c>
      <c r="P340" s="2">
        <v>62.934362934362902</v>
      </c>
      <c r="Q340" s="3">
        <v>143.63341269167501</v>
      </c>
      <c r="R340" s="2">
        <v>0.55000000000000004</v>
      </c>
      <c r="S340" s="2">
        <v>20.8</v>
      </c>
      <c r="T340" s="2">
        <v>1.36</v>
      </c>
      <c r="V340" s="4">
        <f t="shared" si="23"/>
        <v>163</v>
      </c>
      <c r="W340">
        <f t="shared" si="20"/>
        <v>4</v>
      </c>
      <c r="X340">
        <f t="shared" si="21"/>
        <v>1</v>
      </c>
      <c r="Y340">
        <v>339</v>
      </c>
      <c r="Z340" s="4">
        <f t="shared" si="22"/>
        <v>330</v>
      </c>
    </row>
    <row r="341" spans="1:26" x14ac:dyDescent="0.2">
      <c r="A341" s="11">
        <v>67</v>
      </c>
      <c r="B341" s="4">
        <v>408</v>
      </c>
      <c r="C341" s="4">
        <v>2</v>
      </c>
      <c r="D341" s="4">
        <v>2</v>
      </c>
      <c r="E341" s="4">
        <v>1</v>
      </c>
      <c r="F341" s="4">
        <v>1</v>
      </c>
      <c r="G341" t="s">
        <v>33</v>
      </c>
      <c r="H341" s="4">
        <v>29</v>
      </c>
      <c r="I341" s="4">
        <v>373</v>
      </c>
      <c r="J341" s="4">
        <v>103</v>
      </c>
      <c r="K341" s="2">
        <v>7.77479892761394</v>
      </c>
      <c r="L341" s="2">
        <v>28.1553398058252</v>
      </c>
      <c r="M341" s="2">
        <v>10.770194113963599</v>
      </c>
      <c r="N341" s="1">
        <v>3.05979882619071E-6</v>
      </c>
      <c r="O341" s="2">
        <v>5.5143071263116603</v>
      </c>
      <c r="P341" s="2">
        <v>2.6141905622036501</v>
      </c>
      <c r="Q341" s="3">
        <v>30.058101913744999</v>
      </c>
      <c r="R341" s="2">
        <v>18.059999999999999</v>
      </c>
      <c r="S341" s="2">
        <v>21.64</v>
      </c>
      <c r="T341" s="2">
        <v>1.41</v>
      </c>
      <c r="V341" s="4">
        <f t="shared" si="23"/>
        <v>164</v>
      </c>
      <c r="W341">
        <f t="shared" si="20"/>
        <v>4</v>
      </c>
      <c r="X341">
        <f t="shared" si="21"/>
        <v>1</v>
      </c>
      <c r="Y341">
        <v>340</v>
      </c>
      <c r="Z341" s="4">
        <f t="shared" si="22"/>
        <v>331</v>
      </c>
    </row>
    <row r="342" spans="1:26" x14ac:dyDescent="0.2">
      <c r="A342" s="11">
        <v>67</v>
      </c>
      <c r="B342" s="4">
        <v>408</v>
      </c>
      <c r="C342" s="4">
        <v>2</v>
      </c>
      <c r="D342" s="4">
        <v>2</v>
      </c>
      <c r="E342" s="4">
        <v>1</v>
      </c>
      <c r="F342" s="4">
        <v>2</v>
      </c>
      <c r="G342" t="s">
        <v>72</v>
      </c>
      <c r="H342" s="4">
        <v>29</v>
      </c>
      <c r="I342" s="4">
        <v>106</v>
      </c>
      <c r="J342" s="4">
        <v>366</v>
      </c>
      <c r="K342" s="2">
        <v>27.358490566037698</v>
      </c>
      <c r="L342" s="2">
        <v>7.9234972677595596</v>
      </c>
      <c r="M342" s="2">
        <v>2.6270897304674099</v>
      </c>
      <c r="N342" s="1">
        <v>3.9299498166992601E-6</v>
      </c>
      <c r="O342" s="2">
        <v>5.40561299529117</v>
      </c>
      <c r="P342" s="2">
        <v>3.0160740898445799</v>
      </c>
      <c r="Q342" s="3">
        <v>29.3322900874435</v>
      </c>
      <c r="R342" s="2">
        <v>3.41</v>
      </c>
      <c r="S342" s="2">
        <v>21.64</v>
      </c>
      <c r="T342" s="2">
        <v>1.41</v>
      </c>
      <c r="V342" s="4">
        <f t="shared" si="23"/>
        <v>164</v>
      </c>
      <c r="W342">
        <f t="shared" si="20"/>
        <v>4</v>
      </c>
      <c r="X342">
        <f t="shared" si="21"/>
        <v>1</v>
      </c>
      <c r="Y342">
        <v>341</v>
      </c>
      <c r="Z342" s="4">
        <f t="shared" si="22"/>
        <v>332</v>
      </c>
    </row>
    <row r="343" spans="1:26" x14ac:dyDescent="0.2">
      <c r="A343" s="11">
        <v>67</v>
      </c>
      <c r="B343" s="4">
        <v>1030</v>
      </c>
      <c r="C343" s="4">
        <v>2</v>
      </c>
      <c r="D343" s="4">
        <v>2</v>
      </c>
      <c r="E343" s="4">
        <v>1</v>
      </c>
      <c r="F343" s="4">
        <v>1</v>
      </c>
      <c r="G343" t="s">
        <v>306</v>
      </c>
      <c r="H343" s="4">
        <v>4</v>
      </c>
      <c r="I343" s="4">
        <v>18</v>
      </c>
      <c r="J343" s="4">
        <v>15</v>
      </c>
      <c r="K343" s="2">
        <v>22.2222222222222</v>
      </c>
      <c r="L343" s="2">
        <v>26.6666666666666</v>
      </c>
      <c r="M343" s="2">
        <v>0.42656916514320498</v>
      </c>
      <c r="N343" s="1">
        <v>1.63728899853533E-6</v>
      </c>
      <c r="O343" s="2">
        <v>5.7858746563293</v>
      </c>
      <c r="P343" s="2">
        <v>62.514285714285698</v>
      </c>
      <c r="Q343" s="3">
        <v>144.10680362997201</v>
      </c>
      <c r="R343" s="2">
        <v>2.94</v>
      </c>
      <c r="S343" s="2">
        <v>24.86</v>
      </c>
      <c r="T343" s="2">
        <v>1.62</v>
      </c>
      <c r="V343" s="4">
        <f t="shared" si="23"/>
        <v>165</v>
      </c>
      <c r="W343">
        <f t="shared" si="20"/>
        <v>4</v>
      </c>
      <c r="X343">
        <f t="shared" si="21"/>
        <v>1</v>
      </c>
      <c r="Y343">
        <v>342</v>
      </c>
      <c r="Z343" s="4">
        <f t="shared" si="22"/>
        <v>333</v>
      </c>
    </row>
    <row r="344" spans="1:26" x14ac:dyDescent="0.2">
      <c r="A344" s="11">
        <v>67</v>
      </c>
      <c r="B344" s="4">
        <v>1030</v>
      </c>
      <c r="C344" s="4">
        <v>2</v>
      </c>
      <c r="D344" s="4">
        <v>2</v>
      </c>
      <c r="E344" s="4">
        <v>1</v>
      </c>
      <c r="F344" s="4">
        <v>2</v>
      </c>
      <c r="G344" t="s">
        <v>212</v>
      </c>
      <c r="H344" s="4">
        <v>4</v>
      </c>
      <c r="I344" s="4">
        <v>17</v>
      </c>
      <c r="J344" s="4">
        <v>17</v>
      </c>
      <c r="K344" s="2">
        <v>23.529411764705799</v>
      </c>
      <c r="L344" s="2">
        <v>23.529411764705799</v>
      </c>
      <c r="M344" s="2">
        <v>0.396341463414634</v>
      </c>
      <c r="N344" s="1">
        <v>2.2122698898479701E-6</v>
      </c>
      <c r="O344" s="2">
        <v>5.6551618915980404</v>
      </c>
      <c r="P344" s="2">
        <v>59.366515837103996</v>
      </c>
      <c r="Q344" s="3">
        <v>134.21994760744701</v>
      </c>
      <c r="R344" s="2">
        <v>0.47</v>
      </c>
      <c r="S344" s="2">
        <v>24.86</v>
      </c>
      <c r="T344" s="2">
        <v>1.62</v>
      </c>
      <c r="V344" s="4">
        <f t="shared" si="23"/>
        <v>165</v>
      </c>
      <c r="W344">
        <f t="shared" si="20"/>
        <v>4</v>
      </c>
      <c r="X344">
        <f t="shared" si="21"/>
        <v>1</v>
      </c>
      <c r="Y344">
        <v>343</v>
      </c>
      <c r="Z344" s="4">
        <f t="shared" si="22"/>
        <v>334</v>
      </c>
    </row>
    <row r="345" spans="1:26" x14ac:dyDescent="0.2">
      <c r="A345" s="11">
        <v>68</v>
      </c>
      <c r="B345" s="4">
        <v>111</v>
      </c>
      <c r="C345" s="4">
        <v>2</v>
      </c>
      <c r="D345" s="4">
        <v>2</v>
      </c>
      <c r="E345" s="4">
        <v>1</v>
      </c>
      <c r="F345" s="4">
        <v>1</v>
      </c>
      <c r="G345" t="s">
        <v>307</v>
      </c>
      <c r="H345" s="4">
        <v>4</v>
      </c>
      <c r="I345" s="4">
        <v>7</v>
      </c>
      <c r="J345" s="4">
        <v>59</v>
      </c>
      <c r="K345" s="2">
        <v>57.142857142857103</v>
      </c>
      <c r="L345" s="2">
        <v>6.7796610169491496</v>
      </c>
      <c r="M345" s="2">
        <v>9.2649783817171094E-2</v>
      </c>
      <c r="N345" s="1">
        <v>6.2263742875818598E-6</v>
      </c>
      <c r="O345" s="2">
        <v>5.2057647760168804</v>
      </c>
      <c r="P345" s="2">
        <v>73.175141242937798</v>
      </c>
      <c r="Q345" s="3">
        <v>92.771226358935806</v>
      </c>
      <c r="R345" s="2">
        <v>1.0900000000000001</v>
      </c>
      <c r="S345" s="2">
        <v>20.47</v>
      </c>
      <c r="T345" s="2">
        <v>1.33</v>
      </c>
      <c r="V345" s="4">
        <f t="shared" si="23"/>
        <v>166</v>
      </c>
      <c r="W345">
        <f t="shared" si="20"/>
        <v>4</v>
      </c>
      <c r="X345">
        <f t="shared" si="21"/>
        <v>1</v>
      </c>
      <c r="Y345">
        <v>344</v>
      </c>
      <c r="Z345" s="4">
        <f t="shared" si="22"/>
        <v>335</v>
      </c>
    </row>
    <row r="346" spans="1:26" x14ac:dyDescent="0.2">
      <c r="A346" s="11">
        <v>68</v>
      </c>
      <c r="B346" s="4">
        <v>111</v>
      </c>
      <c r="C346" s="4">
        <v>2</v>
      </c>
      <c r="D346" s="4">
        <v>2</v>
      </c>
      <c r="E346" s="4">
        <v>1</v>
      </c>
      <c r="F346" s="4">
        <v>2</v>
      </c>
      <c r="G346" t="s">
        <v>308</v>
      </c>
      <c r="H346" s="4">
        <v>4</v>
      </c>
      <c r="I346" s="4">
        <v>61</v>
      </c>
      <c r="J346" s="4">
        <v>7</v>
      </c>
      <c r="K346" s="2">
        <v>6.55737704918032</v>
      </c>
      <c r="L346" s="2">
        <v>57.142857142857103</v>
      </c>
      <c r="M346" s="2">
        <v>1.73252279635258</v>
      </c>
      <c r="N346" s="1">
        <v>7.1287311682532599E-6</v>
      </c>
      <c r="O346" s="2">
        <v>5.1469877626675</v>
      </c>
      <c r="P346" s="2">
        <v>32.982456140350799</v>
      </c>
      <c r="Q346" s="3">
        <v>89.559200753922397</v>
      </c>
      <c r="R346" s="2">
        <v>4.32</v>
      </c>
      <c r="S346" s="2">
        <v>20.47</v>
      </c>
      <c r="T346" s="2">
        <v>1.33</v>
      </c>
      <c r="V346" s="4">
        <f t="shared" si="23"/>
        <v>166</v>
      </c>
      <c r="W346">
        <f t="shared" si="20"/>
        <v>4</v>
      </c>
      <c r="X346">
        <f t="shared" si="21"/>
        <v>1</v>
      </c>
      <c r="Y346">
        <v>345</v>
      </c>
      <c r="Z346" s="4">
        <f t="shared" si="22"/>
        <v>336</v>
      </c>
    </row>
    <row r="347" spans="1:26" x14ac:dyDescent="0.2">
      <c r="A347" s="11">
        <v>68</v>
      </c>
      <c r="B347" s="4">
        <v>771</v>
      </c>
      <c r="C347" s="4">
        <v>2</v>
      </c>
      <c r="D347" s="4">
        <v>2</v>
      </c>
      <c r="E347" s="4">
        <v>1</v>
      </c>
      <c r="F347" s="4">
        <v>1</v>
      </c>
      <c r="G347" t="s">
        <v>282</v>
      </c>
      <c r="H347" s="4">
        <v>4</v>
      </c>
      <c r="I347" s="4">
        <v>32</v>
      </c>
      <c r="J347" s="4">
        <v>9</v>
      </c>
      <c r="K347" s="2">
        <v>12.5</v>
      </c>
      <c r="L347" s="2">
        <v>44.4444444444444</v>
      </c>
      <c r="M347" s="2">
        <v>0.85158150851581504</v>
      </c>
      <c r="N347" s="1">
        <v>1.7820742764085099E-6</v>
      </c>
      <c r="O347" s="2">
        <v>5.7490741986369098</v>
      </c>
      <c r="P347" s="2">
        <v>52.190476190476097</v>
      </c>
      <c r="Q347" s="3">
        <v>134.999547854215</v>
      </c>
      <c r="R347" s="2">
        <v>41.38</v>
      </c>
      <c r="S347" s="2">
        <v>23.32</v>
      </c>
      <c r="T347" s="2">
        <v>1.52</v>
      </c>
      <c r="V347" s="4">
        <f t="shared" si="23"/>
        <v>167</v>
      </c>
      <c r="W347">
        <f t="shared" si="20"/>
        <v>4</v>
      </c>
      <c r="X347">
        <f t="shared" si="21"/>
        <v>1</v>
      </c>
      <c r="Y347">
        <v>346</v>
      </c>
      <c r="Z347" s="4">
        <f t="shared" si="22"/>
        <v>337</v>
      </c>
    </row>
    <row r="348" spans="1:26" x14ac:dyDescent="0.2">
      <c r="A348" s="11">
        <v>68</v>
      </c>
      <c r="B348" s="4">
        <v>771</v>
      </c>
      <c r="C348" s="4">
        <v>2</v>
      </c>
      <c r="D348" s="4">
        <v>2</v>
      </c>
      <c r="E348" s="4">
        <v>1</v>
      </c>
      <c r="F348" s="4">
        <v>2</v>
      </c>
      <c r="G348" t="s">
        <v>309</v>
      </c>
      <c r="H348" s="4">
        <v>4</v>
      </c>
      <c r="I348" s="4">
        <v>9</v>
      </c>
      <c r="J348" s="4">
        <v>32</v>
      </c>
      <c r="K348" s="2">
        <v>44.4444444444444</v>
      </c>
      <c r="L348" s="2">
        <v>12.5</v>
      </c>
      <c r="M348" s="2">
        <v>0.15313935681470101</v>
      </c>
      <c r="N348" s="1">
        <v>1.7820742764085E-6</v>
      </c>
      <c r="O348" s="2">
        <v>5.7490741986369098</v>
      </c>
      <c r="P348" s="2">
        <v>81.625</v>
      </c>
      <c r="Q348" s="3">
        <v>134.999547854215</v>
      </c>
      <c r="R348" s="2">
        <v>0.63</v>
      </c>
      <c r="S348" s="2">
        <v>23.32</v>
      </c>
      <c r="T348" s="2">
        <v>1.52</v>
      </c>
      <c r="V348" s="4">
        <f t="shared" si="23"/>
        <v>167</v>
      </c>
      <c r="W348">
        <f t="shared" si="20"/>
        <v>4</v>
      </c>
      <c r="X348">
        <f t="shared" si="21"/>
        <v>1</v>
      </c>
      <c r="Y348">
        <v>347</v>
      </c>
      <c r="Z348" s="4">
        <f t="shared" si="22"/>
        <v>338</v>
      </c>
    </row>
    <row r="349" spans="1:26" x14ac:dyDescent="0.2">
      <c r="A349" s="11">
        <v>68</v>
      </c>
      <c r="B349" s="4">
        <v>956</v>
      </c>
      <c r="C349" s="4">
        <v>2</v>
      </c>
      <c r="D349" s="4">
        <v>2</v>
      </c>
      <c r="E349" s="4">
        <v>1</v>
      </c>
      <c r="F349" s="4">
        <v>1</v>
      </c>
      <c r="G349" t="s">
        <v>143</v>
      </c>
      <c r="H349" s="4">
        <v>19</v>
      </c>
      <c r="I349" s="4">
        <v>192</v>
      </c>
      <c r="J349" s="4">
        <v>100</v>
      </c>
      <c r="K349" s="2">
        <v>9.8958333333333304</v>
      </c>
      <c r="L349" s="2">
        <v>19</v>
      </c>
      <c r="M349" s="2">
        <v>5.4113231154207</v>
      </c>
      <c r="N349" s="1">
        <v>5.8113684494569804E-6</v>
      </c>
      <c r="O349" s="2">
        <v>5.2357215887681896</v>
      </c>
      <c r="P349" s="2">
        <v>3.5111560693641599</v>
      </c>
      <c r="Q349" s="3">
        <v>32.647737821888001</v>
      </c>
      <c r="R349" s="2">
        <v>56.44</v>
      </c>
      <c r="S349" s="2">
        <v>22.56</v>
      </c>
      <c r="T349" s="2">
        <v>1.47</v>
      </c>
      <c r="V349" s="4">
        <f t="shared" si="23"/>
        <v>168</v>
      </c>
      <c r="W349">
        <f t="shared" si="20"/>
        <v>4</v>
      </c>
      <c r="X349">
        <f t="shared" si="21"/>
        <v>1</v>
      </c>
      <c r="Y349">
        <v>348</v>
      </c>
      <c r="Z349" s="4">
        <f t="shared" si="22"/>
        <v>339</v>
      </c>
    </row>
    <row r="350" spans="1:26" x14ac:dyDescent="0.2">
      <c r="A350" s="11">
        <v>68</v>
      </c>
      <c r="B350" s="4">
        <v>956</v>
      </c>
      <c r="C350" s="4">
        <v>2</v>
      </c>
      <c r="D350" s="4">
        <v>2</v>
      </c>
      <c r="E350" s="4">
        <v>1</v>
      </c>
      <c r="F350" s="4">
        <v>2</v>
      </c>
      <c r="G350" t="s">
        <v>310</v>
      </c>
      <c r="H350" s="4">
        <v>19</v>
      </c>
      <c r="I350" s="4">
        <v>103</v>
      </c>
      <c r="J350" s="4">
        <v>191</v>
      </c>
      <c r="K350" s="2">
        <v>18.446601941747499</v>
      </c>
      <c r="L350" s="2">
        <v>9.9476439790575899</v>
      </c>
      <c r="M350" s="2">
        <v>2.7044430135222099</v>
      </c>
      <c r="N350" s="1">
        <v>8.5310991549135196E-6</v>
      </c>
      <c r="O350" s="2">
        <v>5.0689950103142101</v>
      </c>
      <c r="P350" s="2">
        <v>3.6782597855896202</v>
      </c>
      <c r="Q350" s="3">
        <v>31.191962450146601</v>
      </c>
      <c r="R350" s="2">
        <v>6.24</v>
      </c>
      <c r="S350" s="2">
        <v>22.56</v>
      </c>
      <c r="T350" s="2">
        <v>1.47</v>
      </c>
      <c r="V350" s="4">
        <f t="shared" si="23"/>
        <v>168</v>
      </c>
      <c r="W350">
        <f t="shared" si="20"/>
        <v>4</v>
      </c>
      <c r="X350">
        <f t="shared" si="21"/>
        <v>1</v>
      </c>
      <c r="Y350">
        <v>349</v>
      </c>
      <c r="Z350" s="4">
        <f t="shared" si="22"/>
        <v>340</v>
      </c>
    </row>
    <row r="351" spans="1:26" x14ac:dyDescent="0.2">
      <c r="A351" s="11">
        <v>68</v>
      </c>
      <c r="B351" s="4">
        <v>2787</v>
      </c>
      <c r="C351" s="4">
        <v>2</v>
      </c>
      <c r="D351" s="4">
        <v>2</v>
      </c>
      <c r="E351" s="4">
        <v>1</v>
      </c>
      <c r="F351" s="4">
        <v>1</v>
      </c>
      <c r="G351" t="s">
        <v>26</v>
      </c>
      <c r="H351" s="4">
        <v>4</v>
      </c>
      <c r="I351" s="4">
        <v>6</v>
      </c>
      <c r="J351" s="4">
        <v>40</v>
      </c>
      <c r="K351" s="2">
        <v>66.6666666666666</v>
      </c>
      <c r="L351" s="2">
        <v>10</v>
      </c>
      <c r="M351" s="2">
        <v>6.1406202026404601E-2</v>
      </c>
      <c r="N351" s="1">
        <v>5.4817157288887098E-7</v>
      </c>
      <c r="O351" s="2">
        <v>6.2610834898793497</v>
      </c>
      <c r="P351" s="2">
        <v>162.85</v>
      </c>
      <c r="Q351" s="3">
        <v>163.63662648435599</v>
      </c>
      <c r="R351" s="2">
        <v>0.6</v>
      </c>
      <c r="S351" s="2">
        <v>25.69</v>
      </c>
      <c r="T351" s="2">
        <v>1.67</v>
      </c>
      <c r="V351" s="4">
        <f t="shared" si="23"/>
        <v>169</v>
      </c>
      <c r="W351">
        <f t="shared" si="20"/>
        <v>4</v>
      </c>
      <c r="X351">
        <f t="shared" si="21"/>
        <v>1</v>
      </c>
      <c r="Y351">
        <v>350</v>
      </c>
      <c r="Z351" s="4">
        <f t="shared" si="22"/>
        <v>341</v>
      </c>
    </row>
    <row r="352" spans="1:26" x14ac:dyDescent="0.2">
      <c r="A352" s="11">
        <v>68</v>
      </c>
      <c r="B352" s="4">
        <v>2787</v>
      </c>
      <c r="C352" s="4">
        <v>2</v>
      </c>
      <c r="D352" s="4">
        <v>2</v>
      </c>
      <c r="E352" s="4">
        <v>1</v>
      </c>
      <c r="F352" s="4">
        <v>2</v>
      </c>
      <c r="G352" t="s">
        <v>210</v>
      </c>
      <c r="H352" s="4">
        <v>4</v>
      </c>
      <c r="I352" s="4">
        <v>40</v>
      </c>
      <c r="J352" s="4">
        <v>6</v>
      </c>
      <c r="K352" s="2">
        <v>10</v>
      </c>
      <c r="L352" s="2">
        <v>66.6666666666666</v>
      </c>
      <c r="M352" s="2">
        <v>1.0938924339106599</v>
      </c>
      <c r="N352" s="1">
        <v>5.4817157288886801E-7</v>
      </c>
      <c r="O352" s="2">
        <v>6.2610834898793497</v>
      </c>
      <c r="P352" s="2">
        <v>60.9444444444444</v>
      </c>
      <c r="Q352" s="3">
        <v>163.63662648435599</v>
      </c>
      <c r="R352" s="2">
        <v>1.04</v>
      </c>
      <c r="S352" s="2">
        <v>25.69</v>
      </c>
      <c r="T352" s="2">
        <v>1.67</v>
      </c>
      <c r="V352" s="4">
        <f t="shared" si="23"/>
        <v>169</v>
      </c>
      <c r="W352">
        <f t="shared" si="20"/>
        <v>4</v>
      </c>
      <c r="X352">
        <f t="shared" si="21"/>
        <v>1</v>
      </c>
      <c r="Y352">
        <v>351</v>
      </c>
      <c r="Z352" s="4">
        <f t="shared" si="22"/>
        <v>342</v>
      </c>
    </row>
    <row r="353" spans="1:26" x14ac:dyDescent="0.2">
      <c r="A353" s="11">
        <v>69</v>
      </c>
      <c r="B353" s="4">
        <v>190</v>
      </c>
      <c r="C353" s="4">
        <v>2</v>
      </c>
      <c r="D353" s="4">
        <v>2</v>
      </c>
      <c r="E353" s="4">
        <v>1</v>
      </c>
      <c r="F353" s="4">
        <v>1</v>
      </c>
      <c r="G353" t="s">
        <v>311</v>
      </c>
      <c r="H353" s="4">
        <v>5</v>
      </c>
      <c r="I353" s="4">
        <v>28</v>
      </c>
      <c r="J353" s="4">
        <v>13</v>
      </c>
      <c r="K353" s="2">
        <v>17.857142857142801</v>
      </c>
      <c r="L353" s="2">
        <v>38.461538461538403</v>
      </c>
      <c r="M353" s="2">
        <v>0.70036540803897596</v>
      </c>
      <c r="N353" s="1">
        <v>7.4590578967510401E-8</v>
      </c>
      <c r="O353" s="2">
        <v>7.1273160218677898</v>
      </c>
      <c r="P353" s="2">
        <v>54.916387959866199</v>
      </c>
      <c r="Q353" s="3">
        <v>176.720369510051</v>
      </c>
      <c r="R353" s="2">
        <v>1.28</v>
      </c>
      <c r="S353" s="2">
        <v>21.17</v>
      </c>
      <c r="T353" s="2">
        <v>1.38</v>
      </c>
      <c r="V353" s="4">
        <f t="shared" si="23"/>
        <v>170</v>
      </c>
      <c r="W353">
        <f t="shared" si="20"/>
        <v>4</v>
      </c>
      <c r="X353">
        <f t="shared" si="21"/>
        <v>1</v>
      </c>
      <c r="Y353">
        <v>352</v>
      </c>
      <c r="Z353" s="4">
        <f t="shared" si="22"/>
        <v>343</v>
      </c>
    </row>
    <row r="354" spans="1:26" x14ac:dyDescent="0.2">
      <c r="A354" s="11">
        <v>69</v>
      </c>
      <c r="B354" s="4">
        <v>190</v>
      </c>
      <c r="C354" s="4">
        <v>2</v>
      </c>
      <c r="D354" s="4">
        <v>2</v>
      </c>
      <c r="E354" s="4">
        <v>1</v>
      </c>
      <c r="F354" s="4">
        <v>2</v>
      </c>
      <c r="G354" t="s">
        <v>312</v>
      </c>
      <c r="H354" s="4">
        <v>5</v>
      </c>
      <c r="I354" s="4">
        <v>13</v>
      </c>
      <c r="J354" s="4">
        <v>28</v>
      </c>
      <c r="K354" s="2">
        <v>38.461538461538403</v>
      </c>
      <c r="L354" s="2">
        <v>17.857142857142801</v>
      </c>
      <c r="M354" s="2">
        <v>0.24472315692872401</v>
      </c>
      <c r="N354" s="1">
        <v>7.4590578967510295E-8</v>
      </c>
      <c r="O354" s="2">
        <v>7.1273160218677898</v>
      </c>
      <c r="P354" s="2">
        <v>72.96875</v>
      </c>
      <c r="Q354" s="3">
        <v>176.720369510051</v>
      </c>
      <c r="R354" s="2">
        <v>1.46</v>
      </c>
      <c r="S354" s="2">
        <v>21.17</v>
      </c>
      <c r="T354" s="2">
        <v>1.38</v>
      </c>
      <c r="V354" s="4">
        <f t="shared" si="23"/>
        <v>170</v>
      </c>
      <c r="W354">
        <f t="shared" si="20"/>
        <v>4</v>
      </c>
      <c r="X354">
        <f t="shared" si="21"/>
        <v>1</v>
      </c>
      <c r="Y354">
        <v>353</v>
      </c>
      <c r="Z354" s="4">
        <f t="shared" si="22"/>
        <v>344</v>
      </c>
    </row>
    <row r="355" spans="1:26" x14ac:dyDescent="0.2">
      <c r="A355" s="11">
        <v>69</v>
      </c>
      <c r="B355" s="4">
        <v>842</v>
      </c>
      <c r="C355" s="4">
        <v>2</v>
      </c>
      <c r="D355" s="4">
        <v>2</v>
      </c>
      <c r="E355" s="4">
        <v>1</v>
      </c>
      <c r="F355" s="4">
        <v>1</v>
      </c>
      <c r="G355" t="s">
        <v>101</v>
      </c>
      <c r="H355" s="4">
        <v>7</v>
      </c>
      <c r="I355" s="4">
        <v>72</v>
      </c>
      <c r="J355" s="4">
        <v>31</v>
      </c>
      <c r="K355" s="2">
        <v>9.7222222222222197</v>
      </c>
      <c r="L355" s="2">
        <v>22.580645161290299</v>
      </c>
      <c r="M355" s="2">
        <v>1.9902020820575601</v>
      </c>
      <c r="N355" s="1">
        <v>6.1065059729047201E-6</v>
      </c>
      <c r="O355" s="2">
        <v>5.2142072137719397</v>
      </c>
      <c r="P355" s="2">
        <v>11.345905707196</v>
      </c>
      <c r="Q355" s="3">
        <v>51.690823817501297</v>
      </c>
      <c r="R355" s="2">
        <v>3.12</v>
      </c>
      <c r="S355" s="2">
        <v>21.69</v>
      </c>
      <c r="T355" s="2">
        <v>1.41</v>
      </c>
      <c r="V355" s="4">
        <f t="shared" si="23"/>
        <v>171</v>
      </c>
      <c r="W355">
        <f t="shared" si="20"/>
        <v>4</v>
      </c>
      <c r="X355">
        <f t="shared" si="21"/>
        <v>1</v>
      </c>
      <c r="Y355">
        <v>354</v>
      </c>
      <c r="Z355" s="4">
        <f t="shared" si="22"/>
        <v>345</v>
      </c>
    </row>
    <row r="356" spans="1:26" x14ac:dyDescent="0.2">
      <c r="A356" s="11">
        <v>69</v>
      </c>
      <c r="B356" s="4">
        <v>842</v>
      </c>
      <c r="C356" s="4">
        <v>2</v>
      </c>
      <c r="D356" s="4">
        <v>2</v>
      </c>
      <c r="E356" s="4">
        <v>1</v>
      </c>
      <c r="F356" s="4">
        <v>2</v>
      </c>
      <c r="G356" t="s">
        <v>262</v>
      </c>
      <c r="H356" s="4">
        <v>7</v>
      </c>
      <c r="I356" s="4">
        <v>31</v>
      </c>
      <c r="J356" s="4">
        <v>71</v>
      </c>
      <c r="K356" s="2">
        <v>22.580645161290299</v>
      </c>
      <c r="L356" s="2">
        <v>9.8591549295774605</v>
      </c>
      <c r="M356" s="2">
        <v>0.74395536267823903</v>
      </c>
      <c r="N356" s="1">
        <v>5.5486064818262101E-6</v>
      </c>
      <c r="O356" s="2">
        <v>5.2558160751194496</v>
      </c>
      <c r="P356" s="2">
        <v>13.2523474178403</v>
      </c>
      <c r="Q356" s="3">
        <v>52.571981343222703</v>
      </c>
      <c r="R356" s="2">
        <v>0.3</v>
      </c>
      <c r="S356" s="2">
        <v>21.69</v>
      </c>
      <c r="T356" s="2">
        <v>1.41</v>
      </c>
      <c r="V356" s="4">
        <f t="shared" si="23"/>
        <v>171</v>
      </c>
      <c r="W356">
        <f t="shared" si="20"/>
        <v>4</v>
      </c>
      <c r="X356">
        <f t="shared" si="21"/>
        <v>1</v>
      </c>
      <c r="Y356">
        <v>355</v>
      </c>
      <c r="Z356" s="4">
        <f t="shared" si="22"/>
        <v>346</v>
      </c>
    </row>
    <row r="357" spans="1:26" x14ac:dyDescent="0.2">
      <c r="A357" s="11">
        <v>69</v>
      </c>
      <c r="B357" s="4">
        <v>2470</v>
      </c>
      <c r="C357" s="4">
        <v>2</v>
      </c>
      <c r="D357" s="4">
        <v>2</v>
      </c>
      <c r="E357" s="4">
        <v>1</v>
      </c>
      <c r="F357" s="4">
        <v>1</v>
      </c>
      <c r="G357" t="s">
        <v>313</v>
      </c>
      <c r="H357" s="4">
        <v>5</v>
      </c>
      <c r="I357" s="4">
        <v>40</v>
      </c>
      <c r="J357" s="4">
        <v>12</v>
      </c>
      <c r="K357" s="2">
        <v>12.5</v>
      </c>
      <c r="L357" s="2">
        <v>41.6666666666666</v>
      </c>
      <c r="M357" s="2">
        <v>1.06544901065449</v>
      </c>
      <c r="N357" s="1">
        <v>3.0257696837445602E-7</v>
      </c>
      <c r="O357" s="2">
        <v>6.5191641327852698</v>
      </c>
      <c r="P357" s="2">
        <v>39.107142857142797</v>
      </c>
      <c r="Q357" s="3">
        <v>132.318853095913</v>
      </c>
      <c r="R357" s="2">
        <v>3.14</v>
      </c>
      <c r="S357" s="2">
        <v>22.7</v>
      </c>
      <c r="T357" s="2">
        <v>1.48</v>
      </c>
      <c r="V357" s="4">
        <f t="shared" si="23"/>
        <v>172</v>
      </c>
      <c r="W357">
        <f t="shared" si="20"/>
        <v>4</v>
      </c>
      <c r="X357">
        <f t="shared" si="21"/>
        <v>1</v>
      </c>
      <c r="Y357">
        <v>356</v>
      </c>
      <c r="Z357" s="4">
        <f t="shared" si="22"/>
        <v>347</v>
      </c>
    </row>
    <row r="358" spans="1:26" x14ac:dyDescent="0.2">
      <c r="A358" s="11">
        <v>69</v>
      </c>
      <c r="B358" s="4">
        <v>2470</v>
      </c>
      <c r="C358" s="4">
        <v>2</v>
      </c>
      <c r="D358" s="4">
        <v>2</v>
      </c>
      <c r="E358" s="4">
        <v>1</v>
      </c>
      <c r="F358" s="4">
        <v>2</v>
      </c>
      <c r="G358" t="s">
        <v>314</v>
      </c>
      <c r="H358" s="4">
        <v>5</v>
      </c>
      <c r="I358" s="4">
        <v>12</v>
      </c>
      <c r="J358" s="4">
        <v>39</v>
      </c>
      <c r="K358" s="2">
        <v>41.6666666666666</v>
      </c>
      <c r="L358" s="2">
        <v>12.8205128205128</v>
      </c>
      <c r="M358" s="2">
        <v>0.21485573971761801</v>
      </c>
      <c r="N358" s="1">
        <v>2.65228187603482E-7</v>
      </c>
      <c r="O358" s="2">
        <v>6.57638032238596</v>
      </c>
      <c r="P358" s="2">
        <v>59.6703296703296</v>
      </c>
      <c r="Q358" s="3">
        <v>135.89688587337201</v>
      </c>
      <c r="R358" s="2">
        <v>0.35</v>
      </c>
      <c r="S358" s="2">
        <v>22.7</v>
      </c>
      <c r="T358" s="2">
        <v>1.48</v>
      </c>
      <c r="V358" s="4">
        <f t="shared" si="23"/>
        <v>172</v>
      </c>
      <c r="W358">
        <f t="shared" si="20"/>
        <v>4</v>
      </c>
      <c r="X358">
        <f t="shared" si="21"/>
        <v>1</v>
      </c>
      <c r="Y358">
        <v>357</v>
      </c>
      <c r="Z358" s="4">
        <f t="shared" si="22"/>
        <v>348</v>
      </c>
    </row>
    <row r="359" spans="1:26" x14ac:dyDescent="0.2">
      <c r="A359" s="11">
        <v>70</v>
      </c>
      <c r="B359" s="4">
        <v>131</v>
      </c>
      <c r="C359" s="4">
        <v>2</v>
      </c>
      <c r="D359" s="4">
        <v>2</v>
      </c>
      <c r="E359" s="4">
        <v>1</v>
      </c>
      <c r="F359" s="4">
        <v>1</v>
      </c>
      <c r="G359" t="s">
        <v>31</v>
      </c>
      <c r="H359" s="4">
        <v>5</v>
      </c>
      <c r="I359" s="4">
        <v>9</v>
      </c>
      <c r="J359" s="4">
        <v>106</v>
      </c>
      <c r="K359" s="2">
        <v>55.5555555555555</v>
      </c>
      <c r="L359" s="2">
        <v>4.7169811320754702</v>
      </c>
      <c r="M359" s="2">
        <v>0.12535255405828799</v>
      </c>
      <c r="N359" s="1">
        <v>7.1142837499763402E-6</v>
      </c>
      <c r="O359" s="2">
        <v>5.1478688171666196</v>
      </c>
      <c r="P359" s="2">
        <v>37.629716981131999</v>
      </c>
      <c r="Q359" s="3">
        <v>63.481520982671597</v>
      </c>
      <c r="R359" s="2">
        <v>0.61</v>
      </c>
      <c r="S359" s="2">
        <v>21.66</v>
      </c>
      <c r="T359" s="2">
        <v>1.41</v>
      </c>
      <c r="V359" s="4">
        <f t="shared" si="23"/>
        <v>173</v>
      </c>
      <c r="W359">
        <f t="shared" si="20"/>
        <v>4</v>
      </c>
      <c r="X359">
        <f t="shared" si="21"/>
        <v>1</v>
      </c>
      <c r="Y359">
        <v>358</v>
      </c>
      <c r="Z359" s="4">
        <f t="shared" si="22"/>
        <v>349</v>
      </c>
    </row>
    <row r="360" spans="1:26" x14ac:dyDescent="0.2">
      <c r="A360" s="11">
        <v>70</v>
      </c>
      <c r="B360" s="4">
        <v>131</v>
      </c>
      <c r="C360" s="4">
        <v>2</v>
      </c>
      <c r="D360" s="4">
        <v>2</v>
      </c>
      <c r="E360" s="4">
        <v>1</v>
      </c>
      <c r="F360" s="4">
        <v>2</v>
      </c>
      <c r="G360" t="s">
        <v>114</v>
      </c>
      <c r="H360" s="4">
        <v>5</v>
      </c>
      <c r="I360" s="4">
        <v>109</v>
      </c>
      <c r="J360" s="4">
        <v>8</v>
      </c>
      <c r="K360" s="2">
        <v>4.5871559633027497</v>
      </c>
      <c r="L360" s="2">
        <v>62.5</v>
      </c>
      <c r="M360" s="2">
        <v>3.1620553359683701</v>
      </c>
      <c r="N360" s="1">
        <v>3.73188791799687E-6</v>
      </c>
      <c r="O360" s="2">
        <v>5.4280714081534098</v>
      </c>
      <c r="P360" s="2">
        <v>19.765625</v>
      </c>
      <c r="Q360" s="3">
        <v>70.318736190281399</v>
      </c>
      <c r="R360" s="2">
        <v>6.05</v>
      </c>
      <c r="S360" s="2">
        <v>21.66</v>
      </c>
      <c r="T360" s="2">
        <v>1.41</v>
      </c>
      <c r="V360" s="4">
        <f t="shared" si="23"/>
        <v>173</v>
      </c>
      <c r="W360">
        <f t="shared" si="20"/>
        <v>4</v>
      </c>
      <c r="X360">
        <f t="shared" si="21"/>
        <v>1</v>
      </c>
      <c r="Y360">
        <v>359</v>
      </c>
      <c r="Z360" s="4">
        <f t="shared" si="22"/>
        <v>350</v>
      </c>
    </row>
    <row r="361" spans="1:26" x14ac:dyDescent="0.2">
      <c r="A361" s="11">
        <v>70</v>
      </c>
      <c r="B361" s="4">
        <v>754</v>
      </c>
      <c r="C361" s="4">
        <v>2</v>
      </c>
      <c r="D361" s="4">
        <v>2</v>
      </c>
      <c r="E361" s="4">
        <v>1</v>
      </c>
      <c r="F361" s="4">
        <v>1</v>
      </c>
      <c r="G361" t="s">
        <v>315</v>
      </c>
      <c r="H361" s="4">
        <v>4</v>
      </c>
      <c r="I361" s="4">
        <v>37</v>
      </c>
      <c r="J361" s="4">
        <v>9</v>
      </c>
      <c r="K361" s="2">
        <v>10.8108108108108</v>
      </c>
      <c r="L361" s="2">
        <v>44.4444444444444</v>
      </c>
      <c r="M361" s="2">
        <v>1.0036496350364901</v>
      </c>
      <c r="N361" s="1">
        <v>3.2530495748677701E-6</v>
      </c>
      <c r="O361" s="2">
        <v>5.4877093182344501</v>
      </c>
      <c r="P361" s="2">
        <v>44.282828282828198</v>
      </c>
      <c r="Q361" s="3">
        <v>116.001951555875</v>
      </c>
      <c r="R361" s="2">
        <v>1.1100000000000001</v>
      </c>
      <c r="S361" s="2">
        <v>22.14</v>
      </c>
      <c r="T361" s="2">
        <v>1.44</v>
      </c>
      <c r="V361" s="4">
        <f t="shared" si="23"/>
        <v>174</v>
      </c>
      <c r="W361">
        <f t="shared" si="20"/>
        <v>4</v>
      </c>
      <c r="X361">
        <f t="shared" si="21"/>
        <v>1</v>
      </c>
      <c r="Y361">
        <v>360</v>
      </c>
      <c r="Z361" s="4">
        <f t="shared" si="22"/>
        <v>351</v>
      </c>
    </row>
    <row r="362" spans="1:26" x14ac:dyDescent="0.2">
      <c r="A362" s="11">
        <v>70</v>
      </c>
      <c r="B362" s="4">
        <v>754</v>
      </c>
      <c r="C362" s="4">
        <v>2</v>
      </c>
      <c r="D362" s="4">
        <v>2</v>
      </c>
      <c r="E362" s="4">
        <v>1</v>
      </c>
      <c r="F362" s="4">
        <v>2</v>
      </c>
      <c r="G362" t="s">
        <v>316</v>
      </c>
      <c r="H362" s="4">
        <v>4</v>
      </c>
      <c r="I362" s="4">
        <v>9</v>
      </c>
      <c r="J362" s="4">
        <v>37</v>
      </c>
      <c r="K362" s="2">
        <v>44.4444444444444</v>
      </c>
      <c r="L362" s="2">
        <v>10.8108108108108</v>
      </c>
      <c r="M362" s="2">
        <v>0.153374233128834</v>
      </c>
      <c r="N362" s="1">
        <v>3.2530495748677599E-6</v>
      </c>
      <c r="O362" s="2">
        <v>5.4877093182344501</v>
      </c>
      <c r="P362" s="2">
        <v>70.486486486486399</v>
      </c>
      <c r="Q362" s="3">
        <v>116.001951555875</v>
      </c>
      <c r="R362" s="2">
        <v>0.52</v>
      </c>
      <c r="S362" s="2">
        <v>22.14</v>
      </c>
      <c r="T362" s="2">
        <v>1.44</v>
      </c>
      <c r="V362" s="4">
        <f t="shared" si="23"/>
        <v>174</v>
      </c>
      <c r="W362">
        <f t="shared" si="20"/>
        <v>4</v>
      </c>
      <c r="X362">
        <f t="shared" si="21"/>
        <v>1</v>
      </c>
      <c r="Y362">
        <v>361</v>
      </c>
      <c r="Z362" s="4">
        <f t="shared" si="22"/>
        <v>352</v>
      </c>
    </row>
    <row r="363" spans="1:26" x14ac:dyDescent="0.2">
      <c r="A363" s="11">
        <v>71</v>
      </c>
      <c r="B363" s="4">
        <v>918</v>
      </c>
      <c r="C363" s="4">
        <v>2</v>
      </c>
      <c r="D363" s="4">
        <v>2</v>
      </c>
      <c r="E363" s="4">
        <v>1</v>
      </c>
      <c r="F363" s="4">
        <v>1</v>
      </c>
      <c r="G363" t="s">
        <v>317</v>
      </c>
      <c r="H363" s="4">
        <v>5</v>
      </c>
      <c r="I363" s="4">
        <v>73</v>
      </c>
      <c r="J363" s="4">
        <v>10</v>
      </c>
      <c r="K363" s="2">
        <v>6.8493150684931496</v>
      </c>
      <c r="L363" s="2">
        <v>50</v>
      </c>
      <c r="M363" s="2">
        <v>2.0687557042896199</v>
      </c>
      <c r="N363" s="1">
        <v>2.14451458884237E-6</v>
      </c>
      <c r="O363" s="2">
        <v>5.6686709949683003</v>
      </c>
      <c r="P363" s="2">
        <v>24.169117647058801</v>
      </c>
      <c r="Q363" s="3">
        <v>84.808600422980504</v>
      </c>
      <c r="R363" s="2">
        <v>4.4000000000000004</v>
      </c>
      <c r="S363" s="2">
        <v>24.74</v>
      </c>
      <c r="T363" s="2">
        <v>1.61</v>
      </c>
      <c r="V363" s="4">
        <f t="shared" si="23"/>
        <v>175</v>
      </c>
      <c r="W363">
        <f t="shared" si="20"/>
        <v>4</v>
      </c>
      <c r="X363">
        <f t="shared" si="21"/>
        <v>1</v>
      </c>
      <c r="Y363">
        <v>362</v>
      </c>
      <c r="Z363" s="4">
        <f t="shared" si="22"/>
        <v>353</v>
      </c>
    </row>
    <row r="364" spans="1:26" x14ac:dyDescent="0.2">
      <c r="A364" s="11">
        <v>71</v>
      </c>
      <c r="B364" s="4">
        <v>918</v>
      </c>
      <c r="C364" s="4">
        <v>2</v>
      </c>
      <c r="D364" s="4">
        <v>2</v>
      </c>
      <c r="E364" s="4">
        <v>1</v>
      </c>
      <c r="F364" s="4">
        <v>2</v>
      </c>
      <c r="G364" t="s">
        <v>318</v>
      </c>
      <c r="H364" s="4">
        <v>5</v>
      </c>
      <c r="I364" s="4">
        <v>10</v>
      </c>
      <c r="J364" s="4">
        <v>71</v>
      </c>
      <c r="K364" s="2">
        <v>50</v>
      </c>
      <c r="L364" s="2">
        <v>7.0422535211267601</v>
      </c>
      <c r="M364" s="2">
        <v>0.15499070055796599</v>
      </c>
      <c r="N364" s="1">
        <v>1.86369152632996E-6</v>
      </c>
      <c r="O364" s="2">
        <v>5.7296259693957499</v>
      </c>
      <c r="P364" s="2">
        <v>45.4366197183098</v>
      </c>
      <c r="Q364" s="3">
        <v>87.390792734089402</v>
      </c>
      <c r="R364" s="2">
        <v>6.38</v>
      </c>
      <c r="S364" s="2">
        <v>24.74</v>
      </c>
      <c r="T364" s="2">
        <v>1.61</v>
      </c>
      <c r="V364" s="4">
        <f t="shared" si="23"/>
        <v>175</v>
      </c>
      <c r="W364">
        <f t="shared" si="20"/>
        <v>4</v>
      </c>
      <c r="X364">
        <f t="shared" si="21"/>
        <v>1</v>
      </c>
      <c r="Y364">
        <v>363</v>
      </c>
      <c r="Z364" s="4">
        <f t="shared" si="22"/>
        <v>354</v>
      </c>
    </row>
    <row r="365" spans="1:26" x14ac:dyDescent="0.2">
      <c r="A365" s="11">
        <v>72</v>
      </c>
      <c r="B365" s="4">
        <v>788</v>
      </c>
      <c r="C365" s="4">
        <v>2</v>
      </c>
      <c r="D365" s="4">
        <v>2</v>
      </c>
      <c r="E365" s="4">
        <v>1</v>
      </c>
      <c r="F365" s="4">
        <v>1</v>
      </c>
      <c r="G365" t="s">
        <v>319</v>
      </c>
      <c r="H365" s="4">
        <v>4</v>
      </c>
      <c r="I365" s="4">
        <v>116</v>
      </c>
      <c r="J365" s="4">
        <v>4</v>
      </c>
      <c r="K365" s="2">
        <v>3.44827586206896</v>
      </c>
      <c r="L365" s="2">
        <v>100</v>
      </c>
      <c r="M365" s="2">
        <v>3.4011539629517098</v>
      </c>
      <c r="N365" s="1">
        <v>2.9139624841011E-6</v>
      </c>
      <c r="O365" s="2">
        <v>5.5355160438675899</v>
      </c>
      <c r="P365" s="2">
        <v>29.401785714285701</v>
      </c>
      <c r="Q365" s="3">
        <v>83.209373019161006</v>
      </c>
      <c r="R365" s="2">
        <v>2.5299999999999998</v>
      </c>
      <c r="S365" s="2">
        <v>21.14</v>
      </c>
      <c r="T365" s="2">
        <v>1.38</v>
      </c>
      <c r="V365" s="4">
        <f t="shared" si="23"/>
        <v>176</v>
      </c>
      <c r="W365">
        <f t="shared" si="20"/>
        <v>4</v>
      </c>
      <c r="X365">
        <f t="shared" si="21"/>
        <v>1</v>
      </c>
      <c r="Y365">
        <v>364</v>
      </c>
      <c r="Z365" s="4">
        <f t="shared" si="22"/>
        <v>355</v>
      </c>
    </row>
    <row r="366" spans="1:26" x14ac:dyDescent="0.2">
      <c r="A366" s="11">
        <v>72</v>
      </c>
      <c r="B366" s="4">
        <v>788</v>
      </c>
      <c r="C366" s="4">
        <v>2</v>
      </c>
      <c r="D366" s="4">
        <v>2</v>
      </c>
      <c r="E366" s="4">
        <v>1</v>
      </c>
      <c r="F366" s="4">
        <v>2</v>
      </c>
      <c r="G366" t="s">
        <v>320</v>
      </c>
      <c r="H366" s="4">
        <v>4</v>
      </c>
      <c r="I366" s="4">
        <v>4</v>
      </c>
      <c r="J366" s="4">
        <v>111</v>
      </c>
      <c r="K366" s="2">
        <v>100</v>
      </c>
      <c r="L366" s="2">
        <v>3.6036036036036001</v>
      </c>
      <c r="M366" s="2">
        <v>0</v>
      </c>
      <c r="N366" s="1">
        <v>2.4373098807504401E-6</v>
      </c>
      <c r="O366" s="2">
        <v>5.6130892508955501</v>
      </c>
      <c r="P366" s="2" t="s">
        <v>321</v>
      </c>
      <c r="Q366" s="3">
        <v>87.134918709409504</v>
      </c>
      <c r="R366" s="2">
        <v>1.1499999999999999</v>
      </c>
      <c r="S366" s="2">
        <v>21.14</v>
      </c>
      <c r="T366" s="2">
        <v>1.38</v>
      </c>
      <c r="V366" s="4">
        <f t="shared" si="23"/>
        <v>176</v>
      </c>
      <c r="W366">
        <f t="shared" si="20"/>
        <v>4</v>
      </c>
      <c r="X366">
        <f t="shared" si="21"/>
        <v>1</v>
      </c>
      <c r="Y366">
        <v>365</v>
      </c>
      <c r="Z366" s="4">
        <f t="shared" si="22"/>
        <v>356</v>
      </c>
    </row>
    <row r="367" spans="1:26" x14ac:dyDescent="0.2">
      <c r="A367" s="11">
        <v>73</v>
      </c>
      <c r="B367" s="4">
        <v>7</v>
      </c>
      <c r="C367" s="4">
        <v>2</v>
      </c>
      <c r="D367" s="4">
        <v>2</v>
      </c>
      <c r="E367" s="4">
        <v>1</v>
      </c>
      <c r="F367" s="4">
        <v>1</v>
      </c>
      <c r="G367" t="s">
        <v>322</v>
      </c>
      <c r="H367" s="4">
        <v>5</v>
      </c>
      <c r="I367" s="4">
        <v>15</v>
      </c>
      <c r="J367" s="4">
        <v>44</v>
      </c>
      <c r="K367" s="2">
        <v>33.3333333333333</v>
      </c>
      <c r="L367" s="2">
        <v>11.363636363636299</v>
      </c>
      <c r="M367" s="2">
        <v>0.307408545957577</v>
      </c>
      <c r="N367" s="1">
        <v>1.8249021500034299E-6</v>
      </c>
      <c r="O367" s="2">
        <v>5.7387604171542597</v>
      </c>
      <c r="P367" s="2">
        <v>36.965909090909001</v>
      </c>
      <c r="Q367" s="3">
        <v>94.035192089277601</v>
      </c>
      <c r="R367" s="2">
        <v>0.42</v>
      </c>
      <c r="S367" s="2">
        <v>23.35</v>
      </c>
      <c r="T367" s="2">
        <v>1.52</v>
      </c>
      <c r="V367" s="4">
        <f t="shared" si="23"/>
        <v>177</v>
      </c>
      <c r="W367">
        <f t="shared" si="20"/>
        <v>4</v>
      </c>
      <c r="X367">
        <f t="shared" si="21"/>
        <v>1</v>
      </c>
      <c r="Y367">
        <v>366</v>
      </c>
      <c r="Z367" s="4">
        <f t="shared" si="22"/>
        <v>357</v>
      </c>
    </row>
    <row r="368" spans="1:26" x14ac:dyDescent="0.2">
      <c r="A368" s="11">
        <v>73</v>
      </c>
      <c r="B368" s="4">
        <v>7</v>
      </c>
      <c r="C368" s="4">
        <v>2</v>
      </c>
      <c r="D368" s="4">
        <v>2</v>
      </c>
      <c r="E368" s="4">
        <v>1</v>
      </c>
      <c r="F368" s="4">
        <v>2</v>
      </c>
      <c r="G368" t="s">
        <v>323</v>
      </c>
      <c r="H368" s="4">
        <v>5</v>
      </c>
      <c r="I368" s="4">
        <v>49</v>
      </c>
      <c r="J368" s="4">
        <v>15</v>
      </c>
      <c r="K368" s="2">
        <v>10.204081632653001</v>
      </c>
      <c r="L368" s="2">
        <v>33.3333333333333</v>
      </c>
      <c r="M368" s="2">
        <v>1.34064594759293</v>
      </c>
      <c r="N368" s="1">
        <v>3.1636219877196802E-6</v>
      </c>
      <c r="O368" s="2">
        <v>5.4998154146987099</v>
      </c>
      <c r="P368" s="2">
        <v>24.863636363636299</v>
      </c>
      <c r="Q368" s="3">
        <v>83.677295337420404</v>
      </c>
      <c r="R368" s="2">
        <v>1.75</v>
      </c>
      <c r="S368" s="2">
        <v>23.35</v>
      </c>
      <c r="T368" s="2">
        <v>1.52</v>
      </c>
      <c r="V368" s="4">
        <f t="shared" si="23"/>
        <v>177</v>
      </c>
      <c r="W368">
        <f t="shared" si="20"/>
        <v>4</v>
      </c>
      <c r="X368">
        <f t="shared" si="21"/>
        <v>1</v>
      </c>
      <c r="Y368">
        <v>367</v>
      </c>
      <c r="Z368" s="4">
        <f t="shared" si="22"/>
        <v>358</v>
      </c>
    </row>
    <row r="369" spans="1:26" x14ac:dyDescent="0.2">
      <c r="A369" s="11">
        <v>73</v>
      </c>
      <c r="B369" s="4">
        <v>65</v>
      </c>
      <c r="C369" s="4">
        <v>2</v>
      </c>
      <c r="D369" s="4">
        <v>2</v>
      </c>
      <c r="E369" s="4">
        <v>1</v>
      </c>
      <c r="F369" s="4">
        <v>1</v>
      </c>
      <c r="G369" t="s">
        <v>92</v>
      </c>
      <c r="H369" s="4">
        <v>4</v>
      </c>
      <c r="I369" s="4">
        <v>115</v>
      </c>
      <c r="J369" s="4">
        <v>4</v>
      </c>
      <c r="K369" s="2">
        <v>3.4782608695652102</v>
      </c>
      <c r="L369" s="2">
        <v>100</v>
      </c>
      <c r="M369" s="2">
        <v>3.3707865168539302</v>
      </c>
      <c r="N369" s="1">
        <v>2.8134810191321E-6</v>
      </c>
      <c r="O369" s="2">
        <v>5.5507560104243199</v>
      </c>
      <c r="P369" s="2">
        <v>29.6666666666666</v>
      </c>
      <c r="Q369" s="3">
        <v>83.967173279613803</v>
      </c>
      <c r="R369" s="2">
        <v>9.6</v>
      </c>
      <c r="S369" s="2">
        <v>22.86</v>
      </c>
      <c r="T369" s="2">
        <v>1.49</v>
      </c>
      <c r="V369" s="4">
        <f t="shared" si="23"/>
        <v>178</v>
      </c>
      <c r="W369">
        <f t="shared" si="20"/>
        <v>4</v>
      </c>
      <c r="X369">
        <f t="shared" si="21"/>
        <v>1</v>
      </c>
      <c r="Y369">
        <v>368</v>
      </c>
      <c r="Z369" s="4">
        <f t="shared" si="22"/>
        <v>359</v>
      </c>
    </row>
    <row r="370" spans="1:26" x14ac:dyDescent="0.2">
      <c r="A370" s="11">
        <v>73</v>
      </c>
      <c r="B370" s="4">
        <v>65</v>
      </c>
      <c r="C370" s="4">
        <v>2</v>
      </c>
      <c r="D370" s="4">
        <v>2</v>
      </c>
      <c r="E370" s="4">
        <v>1</v>
      </c>
      <c r="F370" s="4">
        <v>2</v>
      </c>
      <c r="G370" t="s">
        <v>324</v>
      </c>
      <c r="H370" s="4">
        <v>4</v>
      </c>
      <c r="I370" s="4">
        <v>4</v>
      </c>
      <c r="J370" s="4">
        <v>113</v>
      </c>
      <c r="K370" s="2">
        <v>100</v>
      </c>
      <c r="L370" s="2">
        <v>3.5398230088495501</v>
      </c>
      <c r="M370" s="2">
        <v>0</v>
      </c>
      <c r="N370" s="1">
        <v>2.6203358690772699E-6</v>
      </c>
      <c r="O370" s="2">
        <v>5.5816430381695303</v>
      </c>
      <c r="P370" s="2" t="s">
        <v>325</v>
      </c>
      <c r="Q370" s="3">
        <v>85.523012103168696</v>
      </c>
      <c r="R370" s="2">
        <v>1.07</v>
      </c>
      <c r="S370" s="2">
        <v>22.86</v>
      </c>
      <c r="T370" s="2">
        <v>1.49</v>
      </c>
      <c r="V370" s="4">
        <f t="shared" si="23"/>
        <v>178</v>
      </c>
      <c r="W370">
        <f t="shared" si="20"/>
        <v>4</v>
      </c>
      <c r="X370">
        <f t="shared" si="21"/>
        <v>1</v>
      </c>
      <c r="Y370">
        <v>369</v>
      </c>
      <c r="Z370" s="4">
        <f t="shared" si="22"/>
        <v>360</v>
      </c>
    </row>
    <row r="371" spans="1:26" x14ac:dyDescent="0.2">
      <c r="A371" s="11">
        <v>73</v>
      </c>
      <c r="B371" s="4">
        <v>847</v>
      </c>
      <c r="C371" s="4">
        <v>2</v>
      </c>
      <c r="D371" s="4">
        <v>2</v>
      </c>
      <c r="E371" s="4">
        <v>1</v>
      </c>
      <c r="F371" s="4">
        <v>1</v>
      </c>
      <c r="G371" t="s">
        <v>326</v>
      </c>
      <c r="H371" s="4">
        <v>8</v>
      </c>
      <c r="I371" s="4">
        <v>29</v>
      </c>
      <c r="J371" s="4">
        <v>77</v>
      </c>
      <c r="K371" s="2">
        <v>27.586206896551701</v>
      </c>
      <c r="L371" s="2">
        <v>10.389610389610301</v>
      </c>
      <c r="M371" s="2">
        <v>0.65217391304347805</v>
      </c>
      <c r="N371" s="1">
        <v>3.5426038527581099E-7</v>
      </c>
      <c r="O371" s="2">
        <v>6.4506774093885602</v>
      </c>
      <c r="P371" s="2">
        <v>15.930735930735899</v>
      </c>
      <c r="Q371" s="3">
        <v>70.997816599343295</v>
      </c>
      <c r="R371" s="2">
        <v>9.4600000000000009</v>
      </c>
      <c r="S371" s="2">
        <v>21.52</v>
      </c>
      <c r="T371" s="2">
        <v>1.4</v>
      </c>
      <c r="V371" s="4">
        <f t="shared" si="23"/>
        <v>179</v>
      </c>
      <c r="W371">
        <f t="shared" si="20"/>
        <v>4</v>
      </c>
      <c r="X371">
        <f t="shared" si="21"/>
        <v>1</v>
      </c>
      <c r="Y371">
        <v>370</v>
      </c>
      <c r="Z371" s="4">
        <f t="shared" si="22"/>
        <v>361</v>
      </c>
    </row>
    <row r="372" spans="1:26" x14ac:dyDescent="0.2">
      <c r="A372" s="11">
        <v>73</v>
      </c>
      <c r="B372" s="4">
        <v>847</v>
      </c>
      <c r="C372" s="4">
        <v>2</v>
      </c>
      <c r="D372" s="4">
        <v>2</v>
      </c>
      <c r="E372" s="4">
        <v>1</v>
      </c>
      <c r="F372" s="4">
        <v>2</v>
      </c>
      <c r="G372" t="s">
        <v>241</v>
      </c>
      <c r="H372" s="4">
        <v>8</v>
      </c>
      <c r="I372" s="4">
        <v>77</v>
      </c>
      <c r="J372" s="4">
        <v>29</v>
      </c>
      <c r="K372" s="2">
        <v>10.389610389610301</v>
      </c>
      <c r="L372" s="2">
        <v>27.586206896551701</v>
      </c>
      <c r="M372" s="2">
        <v>2.11138310893512</v>
      </c>
      <c r="N372" s="1">
        <v>3.5426038527580999E-7</v>
      </c>
      <c r="O372" s="2">
        <v>6.4506774093885699</v>
      </c>
      <c r="P372" s="2">
        <v>13.065467266366801</v>
      </c>
      <c r="Q372" s="3">
        <v>70.997816599343295</v>
      </c>
      <c r="R372" s="2">
        <v>1.72</v>
      </c>
      <c r="S372" s="2">
        <v>21.52</v>
      </c>
      <c r="T372" s="2">
        <v>1.4</v>
      </c>
      <c r="V372" s="4">
        <f t="shared" si="23"/>
        <v>179</v>
      </c>
      <c r="W372">
        <f t="shared" si="20"/>
        <v>4</v>
      </c>
      <c r="X372">
        <f t="shared" si="21"/>
        <v>1</v>
      </c>
      <c r="Y372">
        <v>371</v>
      </c>
      <c r="Z372" s="4">
        <f t="shared" si="22"/>
        <v>362</v>
      </c>
    </row>
    <row r="373" spans="1:26" x14ac:dyDescent="0.2">
      <c r="A373" s="11">
        <v>74</v>
      </c>
      <c r="B373" s="4">
        <v>861</v>
      </c>
      <c r="C373" s="4">
        <v>2</v>
      </c>
      <c r="D373" s="4">
        <v>2</v>
      </c>
      <c r="E373" s="4">
        <v>1</v>
      </c>
      <c r="F373" s="4">
        <v>1</v>
      </c>
      <c r="G373" t="s">
        <v>29</v>
      </c>
      <c r="H373" s="4">
        <v>9</v>
      </c>
      <c r="I373" s="4">
        <v>13</v>
      </c>
      <c r="J373" s="4">
        <v>261</v>
      </c>
      <c r="K373" s="2">
        <v>69.230769230769198</v>
      </c>
      <c r="L373" s="2">
        <v>3.44827586206896</v>
      </c>
      <c r="M373" s="2">
        <v>0.13175230566534901</v>
      </c>
      <c r="N373" s="1">
        <v>1.15383785239336E-7</v>
      </c>
      <c r="O373" s="2">
        <v>6.9378552178341799</v>
      </c>
      <c r="P373" s="2">
        <v>26.172413793103399</v>
      </c>
      <c r="Q373" s="3">
        <v>59.130546397246803</v>
      </c>
      <c r="R373" s="2">
        <v>1.2</v>
      </c>
      <c r="S373" s="2">
        <v>20.68</v>
      </c>
      <c r="T373" s="2">
        <v>1.35</v>
      </c>
      <c r="V373" s="4">
        <f t="shared" si="23"/>
        <v>180</v>
      </c>
      <c r="W373">
        <f t="shared" si="20"/>
        <v>4</v>
      </c>
      <c r="X373">
        <f t="shared" si="21"/>
        <v>1</v>
      </c>
      <c r="Y373">
        <v>372</v>
      </c>
      <c r="Z373" s="4">
        <f t="shared" si="22"/>
        <v>363</v>
      </c>
    </row>
    <row r="374" spans="1:26" x14ac:dyDescent="0.2">
      <c r="A374" s="11">
        <v>74</v>
      </c>
      <c r="B374" s="4">
        <v>861</v>
      </c>
      <c r="C374" s="4">
        <v>2</v>
      </c>
      <c r="D374" s="4">
        <v>2</v>
      </c>
      <c r="E374" s="4">
        <v>1</v>
      </c>
      <c r="F374" s="4">
        <v>2</v>
      </c>
      <c r="G374" t="s">
        <v>88</v>
      </c>
      <c r="H374" s="4">
        <v>9</v>
      </c>
      <c r="I374" s="4">
        <v>264</v>
      </c>
      <c r="J374" s="4">
        <v>13</v>
      </c>
      <c r="K374" s="2">
        <v>3.4090909090908998</v>
      </c>
      <c r="L374" s="2">
        <v>69.230769230769198</v>
      </c>
      <c r="M374" s="2">
        <v>7.7649208282582203</v>
      </c>
      <c r="N374" s="1">
        <v>1.2763845696820401E-7</v>
      </c>
      <c r="O374" s="2">
        <v>6.89401845466847</v>
      </c>
      <c r="P374" s="2">
        <v>8.9158371040723896</v>
      </c>
      <c r="Q374" s="3">
        <v>58.331275003397202</v>
      </c>
      <c r="R374" s="2">
        <v>10.73</v>
      </c>
      <c r="S374" s="2">
        <v>20.68</v>
      </c>
      <c r="T374" s="2">
        <v>1.35</v>
      </c>
      <c r="V374" s="4">
        <f t="shared" si="23"/>
        <v>180</v>
      </c>
      <c r="W374">
        <f t="shared" si="20"/>
        <v>4</v>
      </c>
      <c r="X374">
        <f t="shared" si="21"/>
        <v>1</v>
      </c>
      <c r="Y374">
        <v>373</v>
      </c>
      <c r="Z374" s="4">
        <f t="shared" si="22"/>
        <v>364</v>
      </c>
    </row>
    <row r="375" spans="1:26" x14ac:dyDescent="0.2">
      <c r="A375" s="11">
        <v>74</v>
      </c>
      <c r="B375" s="4">
        <v>1858</v>
      </c>
      <c r="C375" s="4">
        <v>2</v>
      </c>
      <c r="D375" s="4">
        <v>2</v>
      </c>
      <c r="E375" s="4">
        <v>1</v>
      </c>
      <c r="F375" s="4">
        <v>1</v>
      </c>
      <c r="G375" t="s">
        <v>220</v>
      </c>
      <c r="H375" s="4">
        <v>5</v>
      </c>
      <c r="I375" s="4">
        <v>46</v>
      </c>
      <c r="J375" s="4">
        <v>14</v>
      </c>
      <c r="K375" s="2">
        <v>10.869565217391299</v>
      </c>
      <c r="L375" s="2">
        <v>35.714285714285701</v>
      </c>
      <c r="M375" s="2">
        <v>1.24885775205604</v>
      </c>
      <c r="N375" s="1">
        <v>1.54378255503091E-6</v>
      </c>
      <c r="O375" s="2">
        <v>5.8114138709695604</v>
      </c>
      <c r="P375" s="2">
        <v>28.597560975609699</v>
      </c>
      <c r="Q375" s="3">
        <v>96.619110146012005</v>
      </c>
      <c r="R375" s="2">
        <v>0.33</v>
      </c>
      <c r="S375" s="2">
        <v>24.89</v>
      </c>
      <c r="T375" s="2">
        <v>1.62</v>
      </c>
      <c r="V375" s="4">
        <f t="shared" si="23"/>
        <v>181</v>
      </c>
      <c r="W375">
        <f t="shared" si="20"/>
        <v>4</v>
      </c>
      <c r="X375">
        <f t="shared" si="21"/>
        <v>1</v>
      </c>
      <c r="Y375">
        <v>374</v>
      </c>
      <c r="Z375" s="4">
        <f t="shared" si="22"/>
        <v>365</v>
      </c>
    </row>
    <row r="376" spans="1:26" x14ac:dyDescent="0.2">
      <c r="A376" s="11">
        <v>74</v>
      </c>
      <c r="B376" s="4">
        <v>1858</v>
      </c>
      <c r="C376" s="4">
        <v>2</v>
      </c>
      <c r="D376" s="4">
        <v>2</v>
      </c>
      <c r="E376" s="4">
        <v>1</v>
      </c>
      <c r="F376" s="4">
        <v>2</v>
      </c>
      <c r="G376" t="s">
        <v>327</v>
      </c>
      <c r="H376" s="4">
        <v>5</v>
      </c>
      <c r="I376" s="4">
        <v>14</v>
      </c>
      <c r="J376" s="4">
        <v>45</v>
      </c>
      <c r="K376" s="2">
        <v>35.714285714285701</v>
      </c>
      <c r="L376" s="2">
        <v>11.1111111111111</v>
      </c>
      <c r="M376" s="2">
        <v>0.27675276752767503</v>
      </c>
      <c r="N376" s="1">
        <v>1.3791467081767901E-6</v>
      </c>
      <c r="O376" s="2">
        <v>5.8603895328359998</v>
      </c>
      <c r="P376" s="2">
        <v>40.148148148148103</v>
      </c>
      <c r="Q376" s="3">
        <v>98.930719901415401</v>
      </c>
      <c r="R376" s="2">
        <v>1.69</v>
      </c>
      <c r="S376" s="2">
        <v>24.89</v>
      </c>
      <c r="T376" s="2">
        <v>1.62</v>
      </c>
      <c r="V376" s="4">
        <f t="shared" si="23"/>
        <v>181</v>
      </c>
      <c r="W376">
        <f t="shared" si="20"/>
        <v>4</v>
      </c>
      <c r="X376">
        <f t="shared" si="21"/>
        <v>1</v>
      </c>
      <c r="Y376">
        <v>375</v>
      </c>
      <c r="Z376" s="4">
        <f t="shared" si="22"/>
        <v>366</v>
      </c>
    </row>
    <row r="377" spans="1:26" x14ac:dyDescent="0.2">
      <c r="A377" s="11">
        <v>75</v>
      </c>
      <c r="B377" s="4">
        <v>616</v>
      </c>
      <c r="C377" s="4">
        <v>2</v>
      </c>
      <c r="D377" s="4">
        <v>2</v>
      </c>
      <c r="E377" s="4">
        <v>1</v>
      </c>
      <c r="F377" s="4">
        <v>1</v>
      </c>
      <c r="G377" t="s">
        <v>328</v>
      </c>
      <c r="H377" s="4">
        <v>4</v>
      </c>
      <c r="I377" s="4">
        <v>24</v>
      </c>
      <c r="J377" s="4">
        <v>11</v>
      </c>
      <c r="K377" s="2">
        <v>16.6666666666666</v>
      </c>
      <c r="L377" s="2">
        <v>36.363636363636303</v>
      </c>
      <c r="M377" s="2">
        <v>0.60864272671941499</v>
      </c>
      <c r="N377" s="1">
        <v>1.3792107260670799E-6</v>
      </c>
      <c r="O377" s="2">
        <v>5.8603693740152698</v>
      </c>
      <c r="P377" s="2">
        <v>59.7454545454545</v>
      </c>
      <c r="Q377" s="3">
        <v>147.62947471158799</v>
      </c>
      <c r="R377" s="2">
        <v>0.48</v>
      </c>
      <c r="S377" s="2">
        <v>20.84</v>
      </c>
      <c r="T377" s="2">
        <v>1.36</v>
      </c>
      <c r="V377" s="4">
        <f t="shared" si="23"/>
        <v>182</v>
      </c>
      <c r="W377">
        <f t="shared" si="20"/>
        <v>4</v>
      </c>
      <c r="X377">
        <f t="shared" si="21"/>
        <v>1</v>
      </c>
      <c r="Y377">
        <v>376</v>
      </c>
      <c r="Z377" s="4">
        <f t="shared" si="22"/>
        <v>367</v>
      </c>
    </row>
    <row r="378" spans="1:26" x14ac:dyDescent="0.2">
      <c r="A378" s="11">
        <v>75</v>
      </c>
      <c r="B378" s="4">
        <v>616</v>
      </c>
      <c r="C378" s="4">
        <v>2</v>
      </c>
      <c r="D378" s="4">
        <v>2</v>
      </c>
      <c r="E378" s="4">
        <v>1</v>
      </c>
      <c r="F378" s="4">
        <v>2</v>
      </c>
      <c r="G378" t="s">
        <v>329</v>
      </c>
      <c r="H378" s="4">
        <v>4</v>
      </c>
      <c r="I378" s="4">
        <v>11</v>
      </c>
      <c r="J378" s="4">
        <v>24</v>
      </c>
      <c r="K378" s="2">
        <v>36.363636363636303</v>
      </c>
      <c r="L378" s="2">
        <v>16.6666666666666</v>
      </c>
      <c r="M378" s="2">
        <v>0.21387106630003</v>
      </c>
      <c r="N378" s="1">
        <v>1.3792107260670799E-6</v>
      </c>
      <c r="O378" s="2">
        <v>5.8603693740152698</v>
      </c>
      <c r="P378" s="2">
        <v>77.928571428571402</v>
      </c>
      <c r="Q378" s="3">
        <v>147.62947471158799</v>
      </c>
      <c r="R378" s="2">
        <v>4.46</v>
      </c>
      <c r="S378" s="2">
        <v>20.84</v>
      </c>
      <c r="T378" s="2">
        <v>1.36</v>
      </c>
      <c r="V378" s="4">
        <f t="shared" si="23"/>
        <v>182</v>
      </c>
      <c r="W378">
        <f t="shared" si="20"/>
        <v>4</v>
      </c>
      <c r="X378">
        <f t="shared" si="21"/>
        <v>1</v>
      </c>
      <c r="Y378">
        <v>377</v>
      </c>
      <c r="Z378" s="4">
        <f t="shared" si="22"/>
        <v>368</v>
      </c>
    </row>
    <row r="379" spans="1:26" x14ac:dyDescent="0.2">
      <c r="A379" s="11">
        <v>75</v>
      </c>
      <c r="B379" s="4">
        <v>1535</v>
      </c>
      <c r="C379" s="4">
        <v>2</v>
      </c>
      <c r="D379" s="4">
        <v>2</v>
      </c>
      <c r="E379" s="4">
        <v>1</v>
      </c>
      <c r="F379" s="4">
        <v>1</v>
      </c>
      <c r="G379" t="s">
        <v>330</v>
      </c>
      <c r="H379" s="4">
        <v>4</v>
      </c>
      <c r="I379" s="4">
        <v>10</v>
      </c>
      <c r="J379" s="4">
        <v>42</v>
      </c>
      <c r="K379" s="2">
        <v>40</v>
      </c>
      <c r="L379" s="2">
        <v>9.5238095238095202</v>
      </c>
      <c r="M379" s="2">
        <v>0.18433179723502299</v>
      </c>
      <c r="N379" s="1">
        <v>9.0482128471252403E-6</v>
      </c>
      <c r="O379" s="2">
        <v>5.0434371917646601</v>
      </c>
      <c r="P379" s="2">
        <v>51.6666666666666</v>
      </c>
      <c r="Q379" s="3">
        <v>90.717166771347493</v>
      </c>
      <c r="R379" s="2">
        <v>0.9</v>
      </c>
      <c r="S379" s="2">
        <v>21.58</v>
      </c>
      <c r="T379" s="2">
        <v>1.41</v>
      </c>
      <c r="V379" s="4">
        <f t="shared" si="23"/>
        <v>183</v>
      </c>
      <c r="W379">
        <f t="shared" si="20"/>
        <v>4</v>
      </c>
      <c r="X379">
        <f t="shared" si="21"/>
        <v>1</v>
      </c>
      <c r="Y379">
        <v>378</v>
      </c>
      <c r="Z379" s="4">
        <f t="shared" si="22"/>
        <v>369</v>
      </c>
    </row>
    <row r="380" spans="1:26" x14ac:dyDescent="0.2">
      <c r="A380" s="11">
        <v>75</v>
      </c>
      <c r="B380" s="4">
        <v>1535</v>
      </c>
      <c r="C380" s="4">
        <v>2</v>
      </c>
      <c r="D380" s="4">
        <v>2</v>
      </c>
      <c r="E380" s="4">
        <v>1</v>
      </c>
      <c r="F380" s="4">
        <v>2</v>
      </c>
      <c r="G380" t="s">
        <v>331</v>
      </c>
      <c r="H380" s="4">
        <v>4</v>
      </c>
      <c r="I380" s="4">
        <v>43</v>
      </c>
      <c r="J380" s="4">
        <v>10</v>
      </c>
      <c r="K380" s="2">
        <v>9.3023255813953494</v>
      </c>
      <c r="L380" s="2">
        <v>40</v>
      </c>
      <c r="M380" s="2">
        <v>1.1864922421660999</v>
      </c>
      <c r="N380" s="1">
        <v>9.9615863889545305E-6</v>
      </c>
      <c r="O380" s="2">
        <v>5.0016714943968203</v>
      </c>
      <c r="P380" s="2">
        <v>33.7128205128205</v>
      </c>
      <c r="Q380" s="3">
        <v>88.475345137257904</v>
      </c>
      <c r="R380" s="2">
        <v>1.9</v>
      </c>
      <c r="S380" s="2">
        <v>21.58</v>
      </c>
      <c r="T380" s="2">
        <v>1.41</v>
      </c>
      <c r="V380" s="4">
        <f t="shared" si="23"/>
        <v>183</v>
      </c>
      <c r="W380">
        <f t="shared" si="20"/>
        <v>4</v>
      </c>
      <c r="X380">
        <f t="shared" si="21"/>
        <v>1</v>
      </c>
      <c r="Y380">
        <v>379</v>
      </c>
      <c r="Z380" s="4">
        <f t="shared" si="22"/>
        <v>370</v>
      </c>
    </row>
    <row r="381" spans="1:26" x14ac:dyDescent="0.2">
      <c r="A381" s="11">
        <v>76</v>
      </c>
      <c r="B381" s="4">
        <v>500</v>
      </c>
      <c r="C381" s="4">
        <v>2</v>
      </c>
      <c r="D381" s="4">
        <v>2</v>
      </c>
      <c r="E381" s="4">
        <v>1</v>
      </c>
      <c r="F381" s="4">
        <v>1</v>
      </c>
      <c r="G381" t="s">
        <v>63</v>
      </c>
      <c r="H381" s="4">
        <v>5</v>
      </c>
      <c r="I381" s="4">
        <v>44</v>
      </c>
      <c r="J381" s="4">
        <v>20</v>
      </c>
      <c r="K381" s="2">
        <v>11.363636363636299</v>
      </c>
      <c r="L381" s="2">
        <v>25</v>
      </c>
      <c r="M381" s="2">
        <v>1.19011290814769</v>
      </c>
      <c r="N381" s="1">
        <v>8.96585046004718E-6</v>
      </c>
      <c r="O381" s="2">
        <v>5.04740850893642</v>
      </c>
      <c r="P381" s="2">
        <v>21.006410256410199</v>
      </c>
      <c r="Q381" s="3">
        <v>68.458725589532804</v>
      </c>
      <c r="R381" s="2">
        <v>27.67</v>
      </c>
      <c r="S381" s="2">
        <v>20.98</v>
      </c>
      <c r="T381" s="2">
        <v>1.37</v>
      </c>
      <c r="V381" s="4">
        <f t="shared" si="23"/>
        <v>184</v>
      </c>
      <c r="W381">
        <f t="shared" si="20"/>
        <v>4</v>
      </c>
      <c r="X381">
        <f t="shared" si="21"/>
        <v>1</v>
      </c>
      <c r="Y381">
        <v>380</v>
      </c>
      <c r="Z381" s="4">
        <f t="shared" si="22"/>
        <v>371</v>
      </c>
    </row>
    <row r="382" spans="1:26" x14ac:dyDescent="0.2">
      <c r="A382" s="11">
        <v>76</v>
      </c>
      <c r="B382" s="4">
        <v>500</v>
      </c>
      <c r="C382" s="4">
        <v>2</v>
      </c>
      <c r="D382" s="4">
        <v>2</v>
      </c>
      <c r="E382" s="4">
        <v>1</v>
      </c>
      <c r="F382" s="4">
        <v>2</v>
      </c>
      <c r="G382" t="s">
        <v>332</v>
      </c>
      <c r="H382" s="4">
        <v>5</v>
      </c>
      <c r="I382" s="4">
        <v>20</v>
      </c>
      <c r="J382" s="4">
        <v>43</v>
      </c>
      <c r="K382" s="2">
        <v>25</v>
      </c>
      <c r="L382" s="2">
        <v>11.6279069767441</v>
      </c>
      <c r="M382" s="2">
        <v>0.46097111247695099</v>
      </c>
      <c r="N382" s="1">
        <v>7.9774670508780801E-6</v>
      </c>
      <c r="O382" s="2">
        <v>5.0981349808858001</v>
      </c>
      <c r="P382" s="2">
        <v>25.224806201550301</v>
      </c>
      <c r="Q382" s="3">
        <v>70.230112421047096</v>
      </c>
      <c r="R382" s="2">
        <v>0.98</v>
      </c>
      <c r="S382" s="2">
        <v>20.98</v>
      </c>
      <c r="T382" s="2">
        <v>1.37</v>
      </c>
      <c r="V382" s="4">
        <f t="shared" si="23"/>
        <v>184</v>
      </c>
      <c r="W382">
        <f t="shared" si="20"/>
        <v>4</v>
      </c>
      <c r="X382">
        <f t="shared" si="21"/>
        <v>1</v>
      </c>
      <c r="Y382">
        <v>381</v>
      </c>
      <c r="Z382" s="4">
        <f t="shared" si="22"/>
        <v>372</v>
      </c>
    </row>
    <row r="383" spans="1:26" x14ac:dyDescent="0.2">
      <c r="A383" s="11">
        <v>77</v>
      </c>
      <c r="B383" s="4">
        <v>540</v>
      </c>
      <c r="C383" s="4">
        <v>2</v>
      </c>
      <c r="D383" s="4">
        <v>2</v>
      </c>
      <c r="E383" s="4">
        <v>1</v>
      </c>
      <c r="F383" s="4">
        <v>1</v>
      </c>
      <c r="G383" t="s">
        <v>159</v>
      </c>
      <c r="H383" s="4">
        <v>8</v>
      </c>
      <c r="I383" s="4">
        <v>96</v>
      </c>
      <c r="J383" s="4">
        <v>34</v>
      </c>
      <c r="K383" s="2">
        <v>8.3333333333333304</v>
      </c>
      <c r="L383" s="2">
        <v>23.529411764705799</v>
      </c>
      <c r="M383" s="2">
        <v>2.6969046889365602</v>
      </c>
      <c r="N383" s="1">
        <v>7.5027214507085802E-6</v>
      </c>
      <c r="O383" s="2">
        <v>5.12478117705587</v>
      </c>
      <c r="P383" s="2">
        <v>8.7245989304812799</v>
      </c>
      <c r="Q383" s="3">
        <v>44.551992790015902</v>
      </c>
      <c r="R383" s="2">
        <v>11.44</v>
      </c>
      <c r="S383" s="2">
        <v>21.71</v>
      </c>
      <c r="T383" s="2">
        <v>1.42</v>
      </c>
      <c r="V383" s="4">
        <f t="shared" si="23"/>
        <v>185</v>
      </c>
      <c r="W383">
        <f t="shared" si="20"/>
        <v>4</v>
      </c>
      <c r="X383">
        <f t="shared" si="21"/>
        <v>1</v>
      </c>
      <c r="Y383">
        <v>382</v>
      </c>
      <c r="Z383" s="4">
        <f t="shared" si="22"/>
        <v>373</v>
      </c>
    </row>
    <row r="384" spans="1:26" x14ac:dyDescent="0.2">
      <c r="A384" s="11">
        <v>77</v>
      </c>
      <c r="B384" s="4">
        <v>540</v>
      </c>
      <c r="C384" s="4">
        <v>2</v>
      </c>
      <c r="D384" s="4">
        <v>2</v>
      </c>
      <c r="E384" s="4">
        <v>1</v>
      </c>
      <c r="F384" s="4">
        <v>2</v>
      </c>
      <c r="G384" t="s">
        <v>333</v>
      </c>
      <c r="H384" s="4">
        <v>8</v>
      </c>
      <c r="I384" s="4">
        <v>34</v>
      </c>
      <c r="J384" s="4">
        <v>95</v>
      </c>
      <c r="K384" s="2">
        <v>23.529411764705799</v>
      </c>
      <c r="L384" s="2">
        <v>8.4210526315789398</v>
      </c>
      <c r="M384" s="2">
        <v>0.81199250468457196</v>
      </c>
      <c r="N384" s="1">
        <v>6.92693492493482E-6</v>
      </c>
      <c r="O384" s="2">
        <v>5.1594588923219398</v>
      </c>
      <c r="P384" s="2">
        <v>10.3708502024291</v>
      </c>
      <c r="Q384" s="3">
        <v>45.149603287301701</v>
      </c>
      <c r="R384" s="2">
        <v>1.1499999999999999</v>
      </c>
      <c r="S384" s="2">
        <v>21.71</v>
      </c>
      <c r="T384" s="2">
        <v>1.42</v>
      </c>
      <c r="V384" s="4">
        <f t="shared" si="23"/>
        <v>185</v>
      </c>
      <c r="W384">
        <f t="shared" si="20"/>
        <v>4</v>
      </c>
      <c r="X384">
        <f t="shared" si="21"/>
        <v>1</v>
      </c>
      <c r="Y384">
        <v>383</v>
      </c>
      <c r="Z384" s="4">
        <f t="shared" si="22"/>
        <v>374</v>
      </c>
    </row>
    <row r="385" spans="1:26" x14ac:dyDescent="0.2">
      <c r="A385" s="11">
        <v>77</v>
      </c>
      <c r="B385" s="4">
        <v>1635</v>
      </c>
      <c r="C385" s="4">
        <v>2</v>
      </c>
      <c r="D385" s="4">
        <v>2</v>
      </c>
      <c r="E385" s="4">
        <v>1</v>
      </c>
      <c r="F385" s="4">
        <v>1</v>
      </c>
      <c r="G385" t="s">
        <v>334</v>
      </c>
      <c r="H385" s="4">
        <v>4</v>
      </c>
      <c r="I385" s="4">
        <v>6</v>
      </c>
      <c r="J385" s="4">
        <v>61</v>
      </c>
      <c r="K385" s="2">
        <v>66.6666666666666</v>
      </c>
      <c r="L385" s="2">
        <v>6.55737704918032</v>
      </c>
      <c r="M385" s="2">
        <v>6.1804697156983897E-2</v>
      </c>
      <c r="N385" s="1">
        <v>3.0980421513363101E-6</v>
      </c>
      <c r="O385" s="2">
        <v>5.5089126776135302</v>
      </c>
      <c r="P385" s="2">
        <v>106.098360655737</v>
      </c>
      <c r="Q385" s="3">
        <v>105.60389416107</v>
      </c>
      <c r="R385" s="2">
        <v>0.28000000000000003</v>
      </c>
      <c r="S385" s="2">
        <v>20.399999999999999</v>
      </c>
      <c r="T385" s="2">
        <v>1.33</v>
      </c>
      <c r="V385" s="4">
        <f t="shared" si="23"/>
        <v>186</v>
      </c>
      <c r="W385">
        <f t="shared" si="20"/>
        <v>4</v>
      </c>
      <c r="X385">
        <f t="shared" si="21"/>
        <v>1</v>
      </c>
      <c r="Y385">
        <v>384</v>
      </c>
      <c r="Z385" s="4">
        <f t="shared" si="22"/>
        <v>375</v>
      </c>
    </row>
    <row r="386" spans="1:26" x14ac:dyDescent="0.2">
      <c r="A386" s="11">
        <v>77</v>
      </c>
      <c r="B386" s="4">
        <v>1635</v>
      </c>
      <c r="C386" s="4">
        <v>2</v>
      </c>
      <c r="D386" s="4">
        <v>2</v>
      </c>
      <c r="E386" s="4">
        <v>1</v>
      </c>
      <c r="F386" s="4">
        <v>2</v>
      </c>
      <c r="G386" t="s">
        <v>335</v>
      </c>
      <c r="H386" s="4">
        <v>4</v>
      </c>
      <c r="I386" s="4">
        <v>64</v>
      </c>
      <c r="J386" s="4">
        <v>6</v>
      </c>
      <c r="K386" s="2">
        <v>6.25</v>
      </c>
      <c r="L386" s="2">
        <v>66.6666666666666</v>
      </c>
      <c r="M386" s="2">
        <v>1.82315405651777</v>
      </c>
      <c r="N386" s="1">
        <v>3.7663998058519001E-6</v>
      </c>
      <c r="O386" s="2">
        <v>5.4240735812234</v>
      </c>
      <c r="P386" s="2">
        <v>36.566666666666599</v>
      </c>
      <c r="Q386" s="3">
        <v>100.422774726443</v>
      </c>
      <c r="R386" s="2">
        <v>999</v>
      </c>
      <c r="S386" s="2">
        <v>20.399999999999999</v>
      </c>
      <c r="T386" s="2">
        <v>1.33</v>
      </c>
      <c r="V386" s="4">
        <f t="shared" si="23"/>
        <v>186</v>
      </c>
      <c r="W386">
        <f t="shared" si="20"/>
        <v>4</v>
      </c>
      <c r="X386">
        <f t="shared" si="21"/>
        <v>1</v>
      </c>
      <c r="Y386">
        <v>385</v>
      </c>
      <c r="Z386" s="4">
        <f t="shared" si="22"/>
        <v>376</v>
      </c>
    </row>
    <row r="387" spans="1:26" x14ac:dyDescent="0.2">
      <c r="A387" s="11">
        <v>77</v>
      </c>
      <c r="B387" s="4">
        <v>1997</v>
      </c>
      <c r="C387" s="4">
        <v>2</v>
      </c>
      <c r="D387" s="4">
        <v>2</v>
      </c>
      <c r="E387" s="4">
        <v>1</v>
      </c>
      <c r="F387" s="4">
        <v>1</v>
      </c>
      <c r="G387" t="s">
        <v>336</v>
      </c>
      <c r="H387" s="4">
        <v>9</v>
      </c>
      <c r="I387" s="4">
        <v>21</v>
      </c>
      <c r="J387" s="4">
        <v>210</v>
      </c>
      <c r="K387" s="2">
        <v>42.857142857142797</v>
      </c>
      <c r="L387" s="2">
        <v>4.2857142857142803</v>
      </c>
      <c r="M387" s="2">
        <v>0.38872691933916398</v>
      </c>
      <c r="N387" s="1">
        <v>4.3760722203176398E-6</v>
      </c>
      <c r="O387" s="2">
        <v>5.3589155192553797</v>
      </c>
      <c r="P387" s="2">
        <v>11.025</v>
      </c>
      <c r="Q387" s="3">
        <v>41.2246848342511</v>
      </c>
      <c r="R387" s="2">
        <v>0.91</v>
      </c>
      <c r="S387" s="2">
        <v>21.98</v>
      </c>
      <c r="T387" s="2">
        <v>1.43</v>
      </c>
      <c r="V387" s="4">
        <f t="shared" si="23"/>
        <v>187</v>
      </c>
      <c r="W387">
        <f t="shared" ref="W387:W450" si="24">IF(AND(B387&lt;&gt;B386,D387&gt;2),W386+1,W386)</f>
        <v>4</v>
      </c>
      <c r="X387">
        <f t="shared" ref="X387:X450" si="25">IF(AND(B387&lt;&gt;B386,D387&gt;3),X386+1,X386)</f>
        <v>1</v>
      </c>
      <c r="Y387">
        <v>386</v>
      </c>
      <c r="Z387" s="4">
        <f t="shared" ref="Z387:Z450" si="26">IF(F387&lt;&gt;F386,Z386+1,Z386)</f>
        <v>377</v>
      </c>
    </row>
    <row r="388" spans="1:26" x14ac:dyDescent="0.2">
      <c r="A388" s="11">
        <v>77</v>
      </c>
      <c r="B388" s="4">
        <v>1997</v>
      </c>
      <c r="C388" s="4">
        <v>2</v>
      </c>
      <c r="D388" s="4">
        <v>2</v>
      </c>
      <c r="E388" s="4">
        <v>1</v>
      </c>
      <c r="F388" s="4">
        <v>2</v>
      </c>
      <c r="G388" t="s">
        <v>93</v>
      </c>
      <c r="H388" s="4">
        <v>9</v>
      </c>
      <c r="I388" s="4">
        <v>216</v>
      </c>
      <c r="J388" s="4">
        <v>21</v>
      </c>
      <c r="K388" s="2">
        <v>4.1666666666666599</v>
      </c>
      <c r="L388" s="2">
        <v>42.857142857142797</v>
      </c>
      <c r="M388" s="2">
        <v>6.3186813186813104</v>
      </c>
      <c r="N388" s="1">
        <v>5.5501652539156196E-6</v>
      </c>
      <c r="O388" s="2">
        <v>5.2556940857430501</v>
      </c>
      <c r="P388" s="2">
        <v>6.7826086956521703</v>
      </c>
      <c r="Q388" s="3">
        <v>39.730211426746102</v>
      </c>
      <c r="R388" s="2">
        <v>4.8600000000000003</v>
      </c>
      <c r="S388" s="2">
        <v>21.98</v>
      </c>
      <c r="T388" s="2">
        <v>1.43</v>
      </c>
      <c r="V388" s="4">
        <f t="shared" ref="V388:V451" si="27">IF(F388=1,V387+1,V387)</f>
        <v>187</v>
      </c>
      <c r="W388">
        <f t="shared" si="24"/>
        <v>4</v>
      </c>
      <c r="X388">
        <f t="shared" si="25"/>
        <v>1</v>
      </c>
      <c r="Y388">
        <v>387</v>
      </c>
      <c r="Z388" s="4">
        <f t="shared" si="26"/>
        <v>378</v>
      </c>
    </row>
    <row r="389" spans="1:26" x14ac:dyDescent="0.2">
      <c r="A389" s="11">
        <v>77</v>
      </c>
      <c r="B389" s="4">
        <v>2970</v>
      </c>
      <c r="C389" s="4">
        <v>3</v>
      </c>
      <c r="D389" s="4">
        <v>2</v>
      </c>
      <c r="E389" s="4">
        <v>1</v>
      </c>
      <c r="F389" s="4">
        <v>1</v>
      </c>
      <c r="G389" t="s">
        <v>337</v>
      </c>
      <c r="H389" s="4">
        <v>6</v>
      </c>
      <c r="I389" s="4">
        <v>54</v>
      </c>
      <c r="J389" s="4">
        <v>12</v>
      </c>
      <c r="K389" s="2">
        <v>11.1111111111111</v>
      </c>
      <c r="L389" s="2">
        <v>50</v>
      </c>
      <c r="M389" s="2">
        <v>1.4611872146118701</v>
      </c>
      <c r="N389" s="1">
        <v>2.4922566728984501E-8</v>
      </c>
      <c r="O389" s="2">
        <v>7.6034072325252504</v>
      </c>
      <c r="P389" s="2">
        <v>34.21875</v>
      </c>
      <c r="Q389" s="3">
        <v>146.02181079378201</v>
      </c>
      <c r="R389" s="2">
        <v>0.53</v>
      </c>
      <c r="S389" s="2">
        <v>22.43</v>
      </c>
      <c r="T389" s="2">
        <v>1.46</v>
      </c>
      <c r="V389" s="4">
        <f t="shared" si="27"/>
        <v>188</v>
      </c>
      <c r="W389">
        <f t="shared" si="24"/>
        <v>4</v>
      </c>
      <c r="X389">
        <f t="shared" si="25"/>
        <v>1</v>
      </c>
      <c r="Y389">
        <v>388</v>
      </c>
      <c r="Z389" s="4">
        <f t="shared" si="26"/>
        <v>379</v>
      </c>
    </row>
    <row r="390" spans="1:26" x14ac:dyDescent="0.2">
      <c r="A390" s="11">
        <v>77</v>
      </c>
      <c r="B390" s="4">
        <v>2970</v>
      </c>
      <c r="C390" s="4">
        <v>3</v>
      </c>
      <c r="D390" s="4">
        <v>2</v>
      </c>
      <c r="E390" s="4">
        <v>2</v>
      </c>
      <c r="F390" s="4">
        <v>2</v>
      </c>
      <c r="G390" t="s">
        <v>338</v>
      </c>
      <c r="H390" s="4">
        <v>2</v>
      </c>
      <c r="I390" s="4">
        <v>6</v>
      </c>
      <c r="J390" s="4">
        <v>54</v>
      </c>
      <c r="K390" s="2">
        <v>33.3333333333333</v>
      </c>
      <c r="L390" s="2">
        <v>3.7037037037037002</v>
      </c>
      <c r="M390" s="2">
        <v>0.12334258402713499</v>
      </c>
      <c r="N390" s="1">
        <v>7.5742860269778101E-3</v>
      </c>
      <c r="O390" s="2">
        <v>2.12065829868803</v>
      </c>
      <c r="P390" s="2">
        <v>30.0277777777777</v>
      </c>
      <c r="Q390" s="3">
        <v>20.364090607748899</v>
      </c>
      <c r="R390" s="2">
        <v>0.3</v>
      </c>
      <c r="S390" s="2">
        <v>22.43</v>
      </c>
      <c r="T390" s="2">
        <v>1.46</v>
      </c>
      <c r="V390" s="4">
        <f t="shared" si="27"/>
        <v>188</v>
      </c>
      <c r="W390">
        <f t="shared" si="24"/>
        <v>4</v>
      </c>
      <c r="X390">
        <f t="shared" si="25"/>
        <v>1</v>
      </c>
      <c r="Y390">
        <v>389</v>
      </c>
      <c r="Z390" s="4">
        <f t="shared" si="26"/>
        <v>380</v>
      </c>
    </row>
    <row r="391" spans="1:26" x14ac:dyDescent="0.2">
      <c r="A391" s="11">
        <v>77</v>
      </c>
      <c r="B391" s="4">
        <v>2970</v>
      </c>
      <c r="C391" s="4">
        <v>3</v>
      </c>
      <c r="D391" s="4">
        <v>2</v>
      </c>
      <c r="E391" s="4">
        <v>2</v>
      </c>
      <c r="F391" s="4">
        <v>2</v>
      </c>
      <c r="G391" t="s">
        <v>339</v>
      </c>
      <c r="H391" s="4">
        <v>4</v>
      </c>
      <c r="I391" s="4">
        <v>6</v>
      </c>
      <c r="J391" s="4">
        <v>54</v>
      </c>
      <c r="K391" s="2">
        <v>66.6666666666666</v>
      </c>
      <c r="L391" s="2">
        <v>7.4074074074074003</v>
      </c>
      <c r="M391" s="2">
        <v>6.1671292013567601E-2</v>
      </c>
      <c r="N391" s="1">
        <v>1.88393230569529E-6</v>
      </c>
      <c r="O391" s="2">
        <v>5.72493470652784</v>
      </c>
      <c r="P391" s="2">
        <v>120.111111111111</v>
      </c>
      <c r="Q391" s="3">
        <v>119.93236156503301</v>
      </c>
      <c r="R391" s="2">
        <v>0.82</v>
      </c>
      <c r="S391" s="2">
        <v>22.43</v>
      </c>
      <c r="T391" s="2">
        <v>1.46</v>
      </c>
      <c r="V391" s="4">
        <f t="shared" si="27"/>
        <v>188</v>
      </c>
      <c r="W391">
        <f t="shared" si="24"/>
        <v>4</v>
      </c>
      <c r="X391">
        <f t="shared" si="25"/>
        <v>1</v>
      </c>
      <c r="Y391">
        <v>390</v>
      </c>
      <c r="Z391" s="4">
        <f t="shared" si="26"/>
        <v>380</v>
      </c>
    </row>
    <row r="392" spans="1:26" x14ac:dyDescent="0.2">
      <c r="A392" s="11">
        <v>78</v>
      </c>
      <c r="B392" s="4">
        <v>7</v>
      </c>
      <c r="C392" s="4">
        <v>2</v>
      </c>
      <c r="D392" s="4">
        <v>2</v>
      </c>
      <c r="E392" s="4">
        <v>1</v>
      </c>
      <c r="F392" s="4">
        <v>1</v>
      </c>
      <c r="G392" t="s">
        <v>323</v>
      </c>
      <c r="H392" s="4">
        <v>7</v>
      </c>
      <c r="I392" s="4">
        <v>49</v>
      </c>
      <c r="J392" s="4">
        <v>48</v>
      </c>
      <c r="K392" s="2">
        <v>14.285714285714199</v>
      </c>
      <c r="L392" s="2">
        <v>14.5833333333333</v>
      </c>
      <c r="M392" s="2">
        <v>1.2927054478301001</v>
      </c>
      <c r="N392" s="1">
        <v>9.5518072721522295E-6</v>
      </c>
      <c r="O392" s="2">
        <v>5.0199144489330001</v>
      </c>
      <c r="P392" s="2">
        <v>11.28125</v>
      </c>
      <c r="Q392" s="3">
        <v>48.350876415637799</v>
      </c>
      <c r="R392" s="2">
        <v>1.75</v>
      </c>
      <c r="S392" s="2">
        <v>21.84</v>
      </c>
      <c r="T392" s="2">
        <v>1.42</v>
      </c>
      <c r="V392" s="4">
        <f t="shared" si="27"/>
        <v>189</v>
      </c>
      <c r="W392">
        <f t="shared" si="24"/>
        <v>4</v>
      </c>
      <c r="X392">
        <f t="shared" si="25"/>
        <v>1</v>
      </c>
      <c r="Y392">
        <v>391</v>
      </c>
      <c r="Z392" s="4">
        <f t="shared" si="26"/>
        <v>381</v>
      </c>
    </row>
    <row r="393" spans="1:26" x14ac:dyDescent="0.2">
      <c r="A393" s="11">
        <v>78</v>
      </c>
      <c r="B393" s="4">
        <v>7</v>
      </c>
      <c r="C393" s="4">
        <v>2</v>
      </c>
      <c r="D393" s="4">
        <v>2</v>
      </c>
      <c r="E393" s="4">
        <v>1</v>
      </c>
      <c r="F393" s="4">
        <v>2</v>
      </c>
      <c r="G393" t="s">
        <v>340</v>
      </c>
      <c r="H393" s="4">
        <v>7</v>
      </c>
      <c r="I393" s="4">
        <v>48</v>
      </c>
      <c r="J393" s="4">
        <v>47</v>
      </c>
      <c r="K393" s="2">
        <v>14.5833333333333</v>
      </c>
      <c r="L393" s="2">
        <v>14.8936170212765</v>
      </c>
      <c r="M393" s="2">
        <v>1.2615384615384599</v>
      </c>
      <c r="N393" s="1">
        <v>7.14887898814814E-6</v>
      </c>
      <c r="O393" s="2">
        <v>5.14576205434307</v>
      </c>
      <c r="P393" s="2">
        <v>11.805915931499699</v>
      </c>
      <c r="Q393" s="3">
        <v>50.885597157774598</v>
      </c>
      <c r="R393" s="2">
        <v>0.59</v>
      </c>
      <c r="S393" s="2">
        <v>21.84</v>
      </c>
      <c r="T393" s="2">
        <v>1.42</v>
      </c>
      <c r="V393" s="4">
        <f t="shared" si="27"/>
        <v>189</v>
      </c>
      <c r="W393">
        <f t="shared" si="24"/>
        <v>4</v>
      </c>
      <c r="X393">
        <f t="shared" si="25"/>
        <v>1</v>
      </c>
      <c r="Y393">
        <v>392</v>
      </c>
      <c r="Z393" s="4">
        <f t="shared" si="26"/>
        <v>382</v>
      </c>
    </row>
    <row r="394" spans="1:26" x14ac:dyDescent="0.2">
      <c r="A394" s="11">
        <v>78</v>
      </c>
      <c r="B394" s="4">
        <v>1741</v>
      </c>
      <c r="C394" s="4">
        <v>2</v>
      </c>
      <c r="D394" s="4">
        <v>2</v>
      </c>
      <c r="E394" s="4">
        <v>1</v>
      </c>
      <c r="F394" s="4">
        <v>1</v>
      </c>
      <c r="G394" t="s">
        <v>245</v>
      </c>
      <c r="H394" s="4">
        <v>7</v>
      </c>
      <c r="I394" s="4">
        <v>19</v>
      </c>
      <c r="J394" s="4">
        <v>127</v>
      </c>
      <c r="K394" s="2">
        <v>36.842105263157798</v>
      </c>
      <c r="L394" s="2">
        <v>5.5118110236220401</v>
      </c>
      <c r="M394" s="2">
        <v>0.378548895899053</v>
      </c>
      <c r="N394" s="1">
        <v>7.3124512410014699E-6</v>
      </c>
      <c r="O394" s="2">
        <v>5.1359370167503897</v>
      </c>
      <c r="P394" s="2">
        <v>14.560367454068199</v>
      </c>
      <c r="Q394" s="3">
        <v>47.555446499803097</v>
      </c>
      <c r="R394" s="2">
        <v>0.76</v>
      </c>
      <c r="S394" s="2">
        <v>21.23</v>
      </c>
      <c r="T394" s="2">
        <v>1.38</v>
      </c>
      <c r="V394" s="4">
        <f t="shared" si="27"/>
        <v>190</v>
      </c>
      <c r="W394">
        <f t="shared" si="24"/>
        <v>4</v>
      </c>
      <c r="X394">
        <f t="shared" si="25"/>
        <v>1</v>
      </c>
      <c r="Y394">
        <v>393</v>
      </c>
      <c r="Z394" s="4">
        <f t="shared" si="26"/>
        <v>383</v>
      </c>
    </row>
    <row r="395" spans="1:26" x14ac:dyDescent="0.2">
      <c r="A395" s="11">
        <v>78</v>
      </c>
      <c r="B395" s="4">
        <v>1741</v>
      </c>
      <c r="C395" s="4">
        <v>2</v>
      </c>
      <c r="D395" s="4">
        <v>2</v>
      </c>
      <c r="E395" s="4">
        <v>1</v>
      </c>
      <c r="F395" s="4">
        <v>2</v>
      </c>
      <c r="G395" t="s">
        <v>341</v>
      </c>
      <c r="H395" s="4">
        <v>7</v>
      </c>
      <c r="I395" s="4">
        <v>132</v>
      </c>
      <c r="J395" s="4">
        <v>19</v>
      </c>
      <c r="K395" s="2">
        <v>5.3030303030303001</v>
      </c>
      <c r="L395" s="2">
        <v>36.842105263157798</v>
      </c>
      <c r="M395" s="2">
        <v>3.8133007931665599</v>
      </c>
      <c r="N395" s="1">
        <v>9.4872364636554504E-6</v>
      </c>
      <c r="O395" s="2">
        <v>5.0228602747559901</v>
      </c>
      <c r="P395" s="2">
        <v>9.6614736842105202</v>
      </c>
      <c r="Q395" s="3">
        <v>45.369686590913503</v>
      </c>
      <c r="R395" s="2">
        <v>4.6500000000000004</v>
      </c>
      <c r="S395" s="2">
        <v>21.23</v>
      </c>
      <c r="T395" s="2">
        <v>1.38</v>
      </c>
      <c r="V395" s="4">
        <f t="shared" si="27"/>
        <v>190</v>
      </c>
      <c r="W395">
        <f t="shared" si="24"/>
        <v>4</v>
      </c>
      <c r="X395">
        <f t="shared" si="25"/>
        <v>1</v>
      </c>
      <c r="Y395">
        <v>394</v>
      </c>
      <c r="Z395" s="4">
        <f t="shared" si="26"/>
        <v>384</v>
      </c>
    </row>
    <row r="396" spans="1:26" x14ac:dyDescent="0.2">
      <c r="A396" s="11">
        <v>79</v>
      </c>
      <c r="B396" s="4">
        <v>1114</v>
      </c>
      <c r="C396" s="4">
        <v>2</v>
      </c>
      <c r="D396" s="4">
        <v>2</v>
      </c>
      <c r="E396" s="4">
        <v>1</v>
      </c>
      <c r="F396" s="4">
        <v>1</v>
      </c>
      <c r="G396" t="s">
        <v>342</v>
      </c>
      <c r="H396" s="4">
        <v>4</v>
      </c>
      <c r="I396" s="4">
        <v>11</v>
      </c>
      <c r="J396" s="4">
        <v>37</v>
      </c>
      <c r="K396" s="2">
        <v>36.363636363636303</v>
      </c>
      <c r="L396" s="2">
        <v>10.8108108108108</v>
      </c>
      <c r="M396" s="2">
        <v>0.214723926380368</v>
      </c>
      <c r="N396" s="1">
        <v>8.3838955003564303E-6</v>
      </c>
      <c r="O396" s="2">
        <v>5.0765541435165202</v>
      </c>
      <c r="P396" s="2">
        <v>50.3474903474903</v>
      </c>
      <c r="Q396" s="3">
        <v>93.718382915021706</v>
      </c>
      <c r="R396" s="2">
        <v>1.33</v>
      </c>
      <c r="S396" s="2">
        <v>22.82</v>
      </c>
      <c r="T396" s="2">
        <v>1.49</v>
      </c>
      <c r="V396" s="4">
        <f t="shared" si="27"/>
        <v>191</v>
      </c>
      <c r="W396">
        <f t="shared" si="24"/>
        <v>4</v>
      </c>
      <c r="X396">
        <f t="shared" si="25"/>
        <v>1</v>
      </c>
      <c r="Y396">
        <v>395</v>
      </c>
      <c r="Z396" s="4">
        <f t="shared" si="26"/>
        <v>385</v>
      </c>
    </row>
    <row r="397" spans="1:26" x14ac:dyDescent="0.2">
      <c r="A397" s="11">
        <v>79</v>
      </c>
      <c r="B397" s="4">
        <v>1114</v>
      </c>
      <c r="C397" s="4">
        <v>2</v>
      </c>
      <c r="D397" s="4">
        <v>2</v>
      </c>
      <c r="E397" s="4">
        <v>1</v>
      </c>
      <c r="F397" s="4">
        <v>2</v>
      </c>
      <c r="G397" t="s">
        <v>343</v>
      </c>
      <c r="H397" s="4">
        <v>4</v>
      </c>
      <c r="I397" s="4">
        <v>37</v>
      </c>
      <c r="J397" s="4">
        <v>11</v>
      </c>
      <c r="K397" s="2">
        <v>10.8108108108108</v>
      </c>
      <c r="L397" s="2">
        <v>36.363636363636303</v>
      </c>
      <c r="M397" s="2">
        <v>1.0042604990870301</v>
      </c>
      <c r="N397" s="1">
        <v>8.3838955003564506E-6</v>
      </c>
      <c r="O397" s="2">
        <v>5.0765541435165202</v>
      </c>
      <c r="P397" s="2">
        <v>36.209366391184503</v>
      </c>
      <c r="Q397" s="3">
        <v>93.718382915021706</v>
      </c>
      <c r="R397" s="2">
        <v>0.47</v>
      </c>
      <c r="S397" s="2">
        <v>22.82</v>
      </c>
      <c r="T397" s="2">
        <v>1.49</v>
      </c>
      <c r="V397" s="4">
        <f t="shared" si="27"/>
        <v>191</v>
      </c>
      <c r="W397">
        <f t="shared" si="24"/>
        <v>4</v>
      </c>
      <c r="X397">
        <f t="shared" si="25"/>
        <v>1</v>
      </c>
      <c r="Y397">
        <v>396</v>
      </c>
      <c r="Z397" s="4">
        <f t="shared" si="26"/>
        <v>386</v>
      </c>
    </row>
    <row r="398" spans="1:26" x14ac:dyDescent="0.2">
      <c r="A398" s="11">
        <v>80</v>
      </c>
      <c r="B398" s="4">
        <v>408</v>
      </c>
      <c r="C398" s="4">
        <v>2</v>
      </c>
      <c r="D398" s="4">
        <v>2</v>
      </c>
      <c r="E398" s="4">
        <v>1</v>
      </c>
      <c r="F398" s="4">
        <v>1</v>
      </c>
      <c r="G398" t="s">
        <v>33</v>
      </c>
      <c r="H398" s="4">
        <v>47</v>
      </c>
      <c r="I398" s="4">
        <v>373</v>
      </c>
      <c r="J398" s="4">
        <v>215</v>
      </c>
      <c r="K398" s="2">
        <v>12.6005361930294</v>
      </c>
      <c r="L398" s="2">
        <v>21.860465116278998</v>
      </c>
      <c r="M398" s="2">
        <v>10.5775470473718</v>
      </c>
      <c r="N398" s="1">
        <v>6.2623499981978496E-6</v>
      </c>
      <c r="O398" s="2">
        <v>5.2032626636372896</v>
      </c>
      <c r="P398" s="2">
        <v>2.0666856898273598</v>
      </c>
      <c r="Q398" s="3">
        <v>25.500383414718499</v>
      </c>
      <c r="R398" s="2">
        <v>18.059999999999999</v>
      </c>
      <c r="S398" s="2">
        <v>21.43</v>
      </c>
      <c r="T398" s="2">
        <v>1.4</v>
      </c>
      <c r="V398" s="4">
        <f t="shared" si="27"/>
        <v>192</v>
      </c>
      <c r="W398">
        <f t="shared" si="24"/>
        <v>4</v>
      </c>
      <c r="X398">
        <f t="shared" si="25"/>
        <v>1</v>
      </c>
      <c r="Y398">
        <v>397</v>
      </c>
      <c r="Z398" s="4">
        <f t="shared" si="26"/>
        <v>387</v>
      </c>
    </row>
    <row r="399" spans="1:26" x14ac:dyDescent="0.2">
      <c r="A399" s="11">
        <v>80</v>
      </c>
      <c r="B399" s="4">
        <v>408</v>
      </c>
      <c r="C399" s="4">
        <v>2</v>
      </c>
      <c r="D399" s="4">
        <v>2</v>
      </c>
      <c r="E399" s="4">
        <v>1</v>
      </c>
      <c r="F399" s="4">
        <v>2</v>
      </c>
      <c r="G399" t="s">
        <v>93</v>
      </c>
      <c r="H399" s="4">
        <v>47</v>
      </c>
      <c r="I399" s="4">
        <v>216</v>
      </c>
      <c r="J399" s="4">
        <v>364</v>
      </c>
      <c r="K399" s="2">
        <v>21.759259259259199</v>
      </c>
      <c r="L399" s="2">
        <v>12.9120879120879</v>
      </c>
      <c r="M399" s="2">
        <v>5.7620184111830799</v>
      </c>
      <c r="N399" s="1">
        <v>3.5271497228185898E-6</v>
      </c>
      <c r="O399" s="2">
        <v>5.4525761047175898</v>
      </c>
      <c r="P399" s="2">
        <v>2.2408966772872101</v>
      </c>
      <c r="Q399" s="3">
        <v>27.040048790588099</v>
      </c>
      <c r="R399" s="2">
        <v>4.8600000000000003</v>
      </c>
      <c r="S399" s="2">
        <v>21.43</v>
      </c>
      <c r="T399" s="2">
        <v>1.4</v>
      </c>
      <c r="V399" s="4">
        <f t="shared" si="27"/>
        <v>192</v>
      </c>
      <c r="W399">
        <f t="shared" si="24"/>
        <v>4</v>
      </c>
      <c r="X399">
        <f t="shared" si="25"/>
        <v>1</v>
      </c>
      <c r="Y399">
        <v>398</v>
      </c>
      <c r="Z399" s="4">
        <f t="shared" si="26"/>
        <v>388</v>
      </c>
    </row>
    <row r="400" spans="1:26" x14ac:dyDescent="0.2">
      <c r="A400" s="11">
        <v>80</v>
      </c>
      <c r="B400" s="4">
        <v>552</v>
      </c>
      <c r="C400" s="4">
        <v>2</v>
      </c>
      <c r="D400" s="4">
        <v>2</v>
      </c>
      <c r="E400" s="4">
        <v>1</v>
      </c>
      <c r="F400" s="4">
        <v>1</v>
      </c>
      <c r="G400" t="s">
        <v>227</v>
      </c>
      <c r="H400" s="4">
        <v>5</v>
      </c>
      <c r="I400" s="4">
        <v>77</v>
      </c>
      <c r="J400" s="4">
        <v>7</v>
      </c>
      <c r="K400" s="2">
        <v>6.4935064935064899</v>
      </c>
      <c r="L400" s="2">
        <v>71.428571428571402</v>
      </c>
      <c r="M400" s="2">
        <v>2.1884498480243102</v>
      </c>
      <c r="N400" s="1">
        <v>2.4712563137306798E-7</v>
      </c>
      <c r="O400" s="2">
        <v>6.6070822081123</v>
      </c>
      <c r="P400" s="2">
        <v>32.6388888888888</v>
      </c>
      <c r="Q400" s="3">
        <v>118.031689257781</v>
      </c>
      <c r="R400" s="2">
        <v>0.46</v>
      </c>
      <c r="S400" s="2">
        <v>22.26</v>
      </c>
      <c r="T400" s="2">
        <v>1.45</v>
      </c>
      <c r="V400" s="4">
        <f t="shared" si="27"/>
        <v>193</v>
      </c>
      <c r="W400">
        <f t="shared" si="24"/>
        <v>4</v>
      </c>
      <c r="X400">
        <f t="shared" si="25"/>
        <v>1</v>
      </c>
      <c r="Y400">
        <v>399</v>
      </c>
      <c r="Z400" s="4">
        <f t="shared" si="26"/>
        <v>389</v>
      </c>
    </row>
    <row r="401" spans="1:26" x14ac:dyDescent="0.2">
      <c r="A401" s="11">
        <v>80</v>
      </c>
      <c r="B401" s="4">
        <v>552</v>
      </c>
      <c r="C401" s="4">
        <v>2</v>
      </c>
      <c r="D401" s="4">
        <v>2</v>
      </c>
      <c r="E401" s="4">
        <v>1</v>
      </c>
      <c r="F401" s="4">
        <v>2</v>
      </c>
      <c r="G401" t="s">
        <v>344</v>
      </c>
      <c r="H401" s="4">
        <v>5</v>
      </c>
      <c r="I401" s="4">
        <v>7</v>
      </c>
      <c r="J401" s="4">
        <v>75</v>
      </c>
      <c r="K401" s="2">
        <v>71.428571428571402</v>
      </c>
      <c r="L401" s="2">
        <v>6.6666666666666599</v>
      </c>
      <c r="M401" s="2">
        <v>6.2073246430788299E-2</v>
      </c>
      <c r="N401" s="1">
        <v>2.1609859119850099E-7</v>
      </c>
      <c r="O401" s="2">
        <v>6.66534806438335</v>
      </c>
      <c r="P401" s="2">
        <v>107.4</v>
      </c>
      <c r="Q401" s="3">
        <v>121.341265363128</v>
      </c>
      <c r="R401" s="2">
        <v>1.31</v>
      </c>
      <c r="S401" s="2">
        <v>22.26</v>
      </c>
      <c r="T401" s="2">
        <v>1.45</v>
      </c>
      <c r="V401" s="4">
        <f t="shared" si="27"/>
        <v>193</v>
      </c>
      <c r="W401">
        <f t="shared" si="24"/>
        <v>4</v>
      </c>
      <c r="X401">
        <f t="shared" si="25"/>
        <v>1</v>
      </c>
      <c r="Y401">
        <v>400</v>
      </c>
      <c r="Z401" s="4">
        <f t="shared" si="26"/>
        <v>390</v>
      </c>
    </row>
    <row r="402" spans="1:26" x14ac:dyDescent="0.2">
      <c r="A402" s="11">
        <v>80</v>
      </c>
      <c r="B402" s="4">
        <v>605</v>
      </c>
      <c r="C402" s="4">
        <v>2</v>
      </c>
      <c r="D402" s="4">
        <v>2</v>
      </c>
      <c r="E402" s="4">
        <v>1</v>
      </c>
      <c r="F402" s="4">
        <v>1</v>
      </c>
      <c r="G402" t="s">
        <v>345</v>
      </c>
      <c r="H402" s="4">
        <v>4</v>
      </c>
      <c r="I402" s="4">
        <v>5</v>
      </c>
      <c r="J402" s="4">
        <v>105</v>
      </c>
      <c r="K402" s="2">
        <v>80</v>
      </c>
      <c r="L402" s="2">
        <v>3.8095238095238</v>
      </c>
      <c r="M402" s="2">
        <v>3.1328320802004997E-2</v>
      </c>
      <c r="N402" s="1">
        <v>9.4882412353993098E-6</v>
      </c>
      <c r="O402" s="2">
        <v>5.0228142820456902</v>
      </c>
      <c r="P402" s="2">
        <v>121.6</v>
      </c>
      <c r="Q402" s="3">
        <v>72.504758285636598</v>
      </c>
      <c r="R402" s="2">
        <v>0.84</v>
      </c>
      <c r="S402" s="2">
        <v>21.54</v>
      </c>
      <c r="T402" s="2">
        <v>1.4</v>
      </c>
      <c r="V402" s="4">
        <f t="shared" si="27"/>
        <v>194</v>
      </c>
      <c r="W402">
        <f t="shared" si="24"/>
        <v>4</v>
      </c>
      <c r="X402">
        <f t="shared" si="25"/>
        <v>1</v>
      </c>
      <c r="Y402">
        <v>401</v>
      </c>
      <c r="Z402" s="4">
        <f t="shared" si="26"/>
        <v>391</v>
      </c>
    </row>
    <row r="403" spans="1:26" x14ac:dyDescent="0.2">
      <c r="A403" s="11">
        <v>80</v>
      </c>
      <c r="B403" s="4">
        <v>605</v>
      </c>
      <c r="C403" s="4">
        <v>2</v>
      </c>
      <c r="D403" s="4">
        <v>2</v>
      </c>
      <c r="E403" s="4">
        <v>1</v>
      </c>
      <c r="F403" s="4">
        <v>2</v>
      </c>
      <c r="G403" t="s">
        <v>346</v>
      </c>
      <c r="H403" s="4">
        <v>4</v>
      </c>
      <c r="I403" s="4">
        <v>106</v>
      </c>
      <c r="J403" s="4">
        <v>5</v>
      </c>
      <c r="K403" s="2">
        <v>3.7735849056603699</v>
      </c>
      <c r="L403" s="2">
        <v>80</v>
      </c>
      <c r="M403" s="2">
        <v>3.09842041312272</v>
      </c>
      <c r="N403" s="1">
        <v>9.8578734071337794E-6</v>
      </c>
      <c r="O403" s="2">
        <v>5.0062167632695704</v>
      </c>
      <c r="P403" s="2">
        <v>25.819607843137199</v>
      </c>
      <c r="Q403" s="3">
        <v>71.778047149779098</v>
      </c>
      <c r="R403" s="2">
        <v>6.12</v>
      </c>
      <c r="S403" s="2">
        <v>21.54</v>
      </c>
      <c r="T403" s="2">
        <v>1.4</v>
      </c>
      <c r="V403" s="4">
        <f t="shared" si="27"/>
        <v>194</v>
      </c>
      <c r="W403">
        <f t="shared" si="24"/>
        <v>4</v>
      </c>
      <c r="X403">
        <f t="shared" si="25"/>
        <v>1</v>
      </c>
      <c r="Y403">
        <v>402</v>
      </c>
      <c r="Z403" s="4">
        <f t="shared" si="26"/>
        <v>392</v>
      </c>
    </row>
    <row r="404" spans="1:26" x14ac:dyDescent="0.2">
      <c r="A404" s="11">
        <v>80</v>
      </c>
      <c r="B404" s="4">
        <v>758</v>
      </c>
      <c r="C404" s="4">
        <v>3</v>
      </c>
      <c r="D404" s="4">
        <v>2</v>
      </c>
      <c r="E404" s="4">
        <v>1</v>
      </c>
      <c r="F404" s="4">
        <v>1</v>
      </c>
      <c r="G404" t="s">
        <v>347</v>
      </c>
      <c r="H404" s="4">
        <v>5</v>
      </c>
      <c r="I404" s="4">
        <v>20</v>
      </c>
      <c r="J404" s="4">
        <v>21</v>
      </c>
      <c r="K404" s="2">
        <v>25</v>
      </c>
      <c r="L404" s="2">
        <v>23.8095238095238</v>
      </c>
      <c r="M404" s="2">
        <v>0.45787545787545703</v>
      </c>
      <c r="N404" s="1">
        <v>1.83423992142307E-7</v>
      </c>
      <c r="O404" s="2">
        <v>6.7365438585595099</v>
      </c>
      <c r="P404" s="2">
        <v>51.999999999999901</v>
      </c>
      <c r="Q404" s="3">
        <v>151.97389519905599</v>
      </c>
      <c r="R404" s="2">
        <v>0.44</v>
      </c>
      <c r="S404" s="2">
        <v>20.61</v>
      </c>
      <c r="T404" s="2">
        <v>1.34</v>
      </c>
      <c r="V404" s="4">
        <f t="shared" si="27"/>
        <v>195</v>
      </c>
      <c r="W404">
        <f t="shared" si="24"/>
        <v>4</v>
      </c>
      <c r="X404">
        <f t="shared" si="25"/>
        <v>1</v>
      </c>
      <c r="Y404">
        <v>403</v>
      </c>
      <c r="Z404" s="4">
        <f t="shared" si="26"/>
        <v>393</v>
      </c>
    </row>
    <row r="405" spans="1:26" x14ac:dyDescent="0.2">
      <c r="A405" s="11">
        <v>80</v>
      </c>
      <c r="B405" s="4">
        <v>758</v>
      </c>
      <c r="C405" s="4">
        <v>3</v>
      </c>
      <c r="D405" s="4">
        <v>2</v>
      </c>
      <c r="E405" s="4">
        <v>2</v>
      </c>
      <c r="F405" s="4">
        <v>2</v>
      </c>
      <c r="G405" t="s">
        <v>348</v>
      </c>
      <c r="H405" s="4">
        <v>4</v>
      </c>
      <c r="I405" s="4">
        <v>13</v>
      </c>
      <c r="J405" s="4">
        <v>20</v>
      </c>
      <c r="K405" s="2">
        <v>30.769230769230699</v>
      </c>
      <c r="L405" s="2">
        <v>20</v>
      </c>
      <c r="M405" s="2">
        <v>0.27464144034177601</v>
      </c>
      <c r="N405" s="1">
        <v>1.36121824172876E-6</v>
      </c>
      <c r="O405" s="2">
        <v>5.8660722395431204</v>
      </c>
      <c r="P405" s="2">
        <v>72.822222222222194</v>
      </c>
      <c r="Q405" s="3">
        <v>149.915213123614</v>
      </c>
      <c r="R405" s="2">
        <v>0.44</v>
      </c>
      <c r="S405" s="2">
        <v>20.61</v>
      </c>
      <c r="T405" s="2">
        <v>1.34</v>
      </c>
      <c r="V405" s="4">
        <f t="shared" si="27"/>
        <v>195</v>
      </c>
      <c r="W405">
        <f t="shared" si="24"/>
        <v>4</v>
      </c>
      <c r="X405">
        <f t="shared" si="25"/>
        <v>1</v>
      </c>
      <c r="Y405">
        <v>404</v>
      </c>
      <c r="Z405" s="4">
        <f t="shared" si="26"/>
        <v>394</v>
      </c>
    </row>
    <row r="406" spans="1:26" x14ac:dyDescent="0.2">
      <c r="A406" s="11">
        <v>80</v>
      </c>
      <c r="B406" s="4">
        <v>758</v>
      </c>
      <c r="C406" s="4">
        <v>3</v>
      </c>
      <c r="D406" s="4">
        <v>2</v>
      </c>
      <c r="E406" s="4">
        <v>2</v>
      </c>
      <c r="F406" s="4">
        <v>2</v>
      </c>
      <c r="G406" t="s">
        <v>349</v>
      </c>
      <c r="H406" s="4">
        <v>2</v>
      </c>
      <c r="I406" s="4">
        <v>9</v>
      </c>
      <c r="J406" s="4">
        <v>20</v>
      </c>
      <c r="K406" s="2">
        <v>22.2222222222222</v>
      </c>
      <c r="L406" s="2">
        <v>10</v>
      </c>
      <c r="M406" s="2">
        <v>0.21361000915471401</v>
      </c>
      <c r="N406" s="1">
        <v>2.45429003776138E-3</v>
      </c>
      <c r="O406" s="2">
        <v>2.6100741154654901</v>
      </c>
      <c r="P406" s="2">
        <v>46.814285714285703</v>
      </c>
      <c r="Q406" s="3">
        <v>38.606029620708497</v>
      </c>
      <c r="R406" s="2">
        <v>0.81</v>
      </c>
      <c r="S406" s="2">
        <v>20.61</v>
      </c>
      <c r="T406" s="2">
        <v>1.34</v>
      </c>
      <c r="V406" s="4">
        <f t="shared" si="27"/>
        <v>195</v>
      </c>
      <c r="W406">
        <f t="shared" si="24"/>
        <v>4</v>
      </c>
      <c r="X406">
        <f t="shared" si="25"/>
        <v>1</v>
      </c>
      <c r="Y406">
        <v>405</v>
      </c>
      <c r="Z406" s="4">
        <f t="shared" si="26"/>
        <v>394</v>
      </c>
    </row>
    <row r="407" spans="1:26" x14ac:dyDescent="0.2">
      <c r="A407" s="11">
        <v>80</v>
      </c>
      <c r="B407" s="4">
        <v>1026</v>
      </c>
      <c r="C407" s="4">
        <v>3</v>
      </c>
      <c r="D407" s="4">
        <v>2</v>
      </c>
      <c r="E407" s="4">
        <v>1</v>
      </c>
      <c r="F407" s="4">
        <v>1</v>
      </c>
      <c r="G407" t="s">
        <v>350</v>
      </c>
      <c r="H407" s="4">
        <v>6</v>
      </c>
      <c r="I407" s="4">
        <v>85</v>
      </c>
      <c r="J407" s="4">
        <v>14</v>
      </c>
      <c r="K407" s="2">
        <v>7.0588235294117601</v>
      </c>
      <c r="L407" s="2">
        <v>42.857142857142797</v>
      </c>
      <c r="M407" s="2">
        <v>2.4063356685957902</v>
      </c>
      <c r="N407" s="1">
        <v>1.2526402456969801E-6</v>
      </c>
      <c r="O407" s="2">
        <v>5.9021736390954</v>
      </c>
      <c r="P407" s="2">
        <v>17.8101265822784</v>
      </c>
      <c r="Q407" s="3">
        <v>75.427865919559693</v>
      </c>
      <c r="R407" s="2">
        <v>19.61</v>
      </c>
      <c r="S407" s="2">
        <v>23.04</v>
      </c>
      <c r="T407" s="2">
        <v>1.5</v>
      </c>
      <c r="V407" s="4">
        <f t="shared" si="27"/>
        <v>196</v>
      </c>
      <c r="W407">
        <f t="shared" si="24"/>
        <v>4</v>
      </c>
      <c r="X407">
        <f t="shared" si="25"/>
        <v>1</v>
      </c>
      <c r="Y407">
        <v>406</v>
      </c>
      <c r="Z407" s="4">
        <f t="shared" si="26"/>
        <v>395</v>
      </c>
    </row>
    <row r="408" spans="1:26" x14ac:dyDescent="0.2">
      <c r="A408" s="11">
        <v>80</v>
      </c>
      <c r="B408" s="4">
        <v>1026</v>
      </c>
      <c r="C408" s="4">
        <v>3</v>
      </c>
      <c r="D408" s="4">
        <v>2</v>
      </c>
      <c r="E408" s="4">
        <v>2</v>
      </c>
      <c r="F408" s="4">
        <v>2</v>
      </c>
      <c r="G408" t="s">
        <v>351</v>
      </c>
      <c r="H408" s="4">
        <v>4</v>
      </c>
      <c r="I408" s="4">
        <v>5</v>
      </c>
      <c r="J408" s="4">
        <v>84</v>
      </c>
      <c r="K408" s="2">
        <v>80</v>
      </c>
      <c r="L408" s="2">
        <v>4.7619047619047601</v>
      </c>
      <c r="M408" s="2">
        <v>3.1123560535325199E-2</v>
      </c>
      <c r="N408" s="1">
        <v>3.8498818370044802E-6</v>
      </c>
      <c r="O408" s="2">
        <v>5.4145525999264104</v>
      </c>
      <c r="P408" s="2">
        <v>152.99999999999901</v>
      </c>
      <c r="Q408" s="3">
        <v>91.763426711814702</v>
      </c>
      <c r="R408" s="2">
        <v>11.55</v>
      </c>
      <c r="S408" s="2">
        <v>23.04</v>
      </c>
      <c r="T408" s="2">
        <v>1.5</v>
      </c>
      <c r="V408" s="4">
        <f t="shared" si="27"/>
        <v>196</v>
      </c>
      <c r="W408">
        <f t="shared" si="24"/>
        <v>4</v>
      </c>
      <c r="X408">
        <f t="shared" si="25"/>
        <v>1</v>
      </c>
      <c r="Y408">
        <v>407</v>
      </c>
      <c r="Z408" s="4">
        <f t="shared" si="26"/>
        <v>396</v>
      </c>
    </row>
    <row r="409" spans="1:26" x14ac:dyDescent="0.2">
      <c r="A409" s="11">
        <v>80</v>
      </c>
      <c r="B409" s="4">
        <v>1026</v>
      </c>
      <c r="C409" s="4">
        <v>3</v>
      </c>
      <c r="D409" s="4">
        <v>2</v>
      </c>
      <c r="E409" s="4">
        <v>2</v>
      </c>
      <c r="F409" s="4">
        <v>2</v>
      </c>
      <c r="G409" t="s">
        <v>318</v>
      </c>
      <c r="H409" s="4">
        <v>3</v>
      </c>
      <c r="I409" s="4">
        <v>10</v>
      </c>
      <c r="J409" s="4">
        <v>84</v>
      </c>
      <c r="K409" s="2">
        <v>30</v>
      </c>
      <c r="L409" s="2">
        <v>3.5714285714285698</v>
      </c>
      <c r="M409" s="2">
        <v>0.21786492374727601</v>
      </c>
      <c r="N409" s="1">
        <v>3.3651613998820001E-3</v>
      </c>
      <c r="O409" s="2">
        <v>2.4729941013071102</v>
      </c>
      <c r="P409" s="2">
        <v>16.3928571428571</v>
      </c>
      <c r="Q409" s="3">
        <v>20.3650773322715</v>
      </c>
      <c r="R409" s="2">
        <v>6.38</v>
      </c>
      <c r="S409" s="2">
        <v>23.04</v>
      </c>
      <c r="T409" s="2">
        <v>1.5</v>
      </c>
      <c r="V409" s="4">
        <f t="shared" si="27"/>
        <v>196</v>
      </c>
      <c r="W409">
        <f t="shared" si="24"/>
        <v>4</v>
      </c>
      <c r="X409">
        <f t="shared" si="25"/>
        <v>1</v>
      </c>
      <c r="Y409">
        <v>408</v>
      </c>
      <c r="Z409" s="4">
        <f t="shared" si="26"/>
        <v>396</v>
      </c>
    </row>
    <row r="410" spans="1:26" x14ac:dyDescent="0.2">
      <c r="A410" s="11">
        <v>82</v>
      </c>
      <c r="B410" s="4">
        <v>1552</v>
      </c>
      <c r="C410" s="4">
        <v>2</v>
      </c>
      <c r="D410" s="4">
        <v>2</v>
      </c>
      <c r="E410" s="4">
        <v>1</v>
      </c>
      <c r="F410" s="4">
        <v>1</v>
      </c>
      <c r="G410" t="s">
        <v>352</v>
      </c>
      <c r="H410" s="4">
        <v>4</v>
      </c>
      <c r="I410" s="4">
        <v>16</v>
      </c>
      <c r="J410" s="4">
        <v>23</v>
      </c>
      <c r="K410" s="2">
        <v>25</v>
      </c>
      <c r="L410" s="2">
        <v>17.391304347826001</v>
      </c>
      <c r="M410" s="2">
        <v>0.36652412950519198</v>
      </c>
      <c r="N410" s="1">
        <v>6.2043584799632197E-6</v>
      </c>
      <c r="O410" s="2">
        <v>5.2073031171491797</v>
      </c>
      <c r="P410" s="2">
        <v>47.449275362318801</v>
      </c>
      <c r="Q410" s="3">
        <v>104.09004654097301</v>
      </c>
      <c r="R410" s="2">
        <v>0.78</v>
      </c>
      <c r="S410" s="2">
        <v>24.57</v>
      </c>
      <c r="T410" s="2">
        <v>1.6</v>
      </c>
      <c r="V410" s="4">
        <f t="shared" si="27"/>
        <v>197</v>
      </c>
      <c r="W410">
        <f t="shared" si="24"/>
        <v>4</v>
      </c>
      <c r="X410">
        <f t="shared" si="25"/>
        <v>1</v>
      </c>
      <c r="Y410">
        <v>409</v>
      </c>
      <c r="Z410" s="4">
        <f t="shared" si="26"/>
        <v>397</v>
      </c>
    </row>
    <row r="411" spans="1:26" x14ac:dyDescent="0.2">
      <c r="A411" s="11">
        <v>82</v>
      </c>
      <c r="B411" s="4">
        <v>1552</v>
      </c>
      <c r="C411" s="4">
        <v>2</v>
      </c>
      <c r="D411" s="4">
        <v>2</v>
      </c>
      <c r="E411" s="4">
        <v>1</v>
      </c>
      <c r="F411" s="4">
        <v>2</v>
      </c>
      <c r="G411" t="s">
        <v>353</v>
      </c>
      <c r="H411" s="4">
        <v>4</v>
      </c>
      <c r="I411" s="4">
        <v>24</v>
      </c>
      <c r="J411" s="4">
        <v>16</v>
      </c>
      <c r="K411" s="2">
        <v>16.6666666666666</v>
      </c>
      <c r="L411" s="2">
        <v>25</v>
      </c>
      <c r="M411" s="2">
        <v>0.60957025297165501</v>
      </c>
      <c r="N411" s="1">
        <v>7.4234715978840597E-6</v>
      </c>
      <c r="O411" s="2">
        <v>5.1293929487356102</v>
      </c>
      <c r="P411" s="2">
        <v>41.012500000000003</v>
      </c>
      <c r="Q411" s="3">
        <v>99.497820623638404</v>
      </c>
      <c r="R411" s="2">
        <v>19.03</v>
      </c>
      <c r="S411" s="2">
        <v>24.57</v>
      </c>
      <c r="T411" s="2">
        <v>1.6</v>
      </c>
      <c r="V411" s="4">
        <f t="shared" si="27"/>
        <v>197</v>
      </c>
      <c r="W411">
        <f t="shared" si="24"/>
        <v>4</v>
      </c>
      <c r="X411">
        <f t="shared" si="25"/>
        <v>1</v>
      </c>
      <c r="Y411">
        <v>410</v>
      </c>
      <c r="Z411" s="4">
        <f t="shared" si="26"/>
        <v>398</v>
      </c>
    </row>
    <row r="412" spans="1:26" x14ac:dyDescent="0.2">
      <c r="A412" s="11">
        <v>82</v>
      </c>
      <c r="B412" s="4">
        <v>1988</v>
      </c>
      <c r="C412" s="4">
        <v>2</v>
      </c>
      <c r="D412" s="4">
        <v>2</v>
      </c>
      <c r="E412" s="4">
        <v>1</v>
      </c>
      <c r="F412" s="4">
        <v>1</v>
      </c>
      <c r="G412" t="s">
        <v>88</v>
      </c>
      <c r="H412" s="4">
        <v>8</v>
      </c>
      <c r="I412" s="4">
        <v>264</v>
      </c>
      <c r="J412" s="4">
        <v>14</v>
      </c>
      <c r="K412" s="2">
        <v>3.0303030303030298</v>
      </c>
      <c r="L412" s="2">
        <v>57.142857142857103</v>
      </c>
      <c r="M412" s="2">
        <v>7.7977459640572597</v>
      </c>
      <c r="N412" s="1">
        <v>5.9862353159687997E-6</v>
      </c>
      <c r="O412" s="2">
        <v>5.2228462152575901</v>
      </c>
      <c r="P412" s="2">
        <v>7.3281249999999902</v>
      </c>
      <c r="Q412" s="3">
        <v>39.626360689639199</v>
      </c>
      <c r="R412" s="2">
        <v>10.73</v>
      </c>
      <c r="S412" s="2">
        <v>21.4</v>
      </c>
      <c r="T412" s="2">
        <v>1.4</v>
      </c>
      <c r="V412" s="4">
        <f t="shared" si="27"/>
        <v>198</v>
      </c>
      <c r="W412">
        <f t="shared" si="24"/>
        <v>4</v>
      </c>
      <c r="X412">
        <f t="shared" si="25"/>
        <v>1</v>
      </c>
      <c r="Y412">
        <v>411</v>
      </c>
      <c r="Z412" s="4">
        <f t="shared" si="26"/>
        <v>399</v>
      </c>
    </row>
    <row r="413" spans="1:26" x14ac:dyDescent="0.2">
      <c r="A413" s="11">
        <v>82</v>
      </c>
      <c r="B413" s="4">
        <v>1988</v>
      </c>
      <c r="C413" s="4">
        <v>2</v>
      </c>
      <c r="D413" s="4">
        <v>2</v>
      </c>
      <c r="E413" s="4">
        <v>1</v>
      </c>
      <c r="F413" s="4">
        <v>2</v>
      </c>
      <c r="G413" t="s">
        <v>354</v>
      </c>
      <c r="H413" s="4">
        <v>8</v>
      </c>
      <c r="I413" s="4">
        <v>14</v>
      </c>
      <c r="J413" s="4">
        <v>259</v>
      </c>
      <c r="K413" s="2">
        <v>57.142857142857103</v>
      </c>
      <c r="L413" s="2">
        <v>3.08880308880308</v>
      </c>
      <c r="M413" s="2">
        <v>0.197498354180381</v>
      </c>
      <c r="N413" s="1">
        <v>5.1710371667259297E-6</v>
      </c>
      <c r="O413" s="2">
        <v>5.2864223407338304</v>
      </c>
      <c r="P413" s="2">
        <v>15.639639639639601</v>
      </c>
      <c r="Q413" s="3">
        <v>40.5937480189559</v>
      </c>
      <c r="R413" s="2">
        <v>5.64</v>
      </c>
      <c r="S413" s="2">
        <v>21.4</v>
      </c>
      <c r="T413" s="2">
        <v>1.4</v>
      </c>
      <c r="V413" s="4">
        <f t="shared" si="27"/>
        <v>198</v>
      </c>
      <c r="W413">
        <f t="shared" si="24"/>
        <v>4</v>
      </c>
      <c r="X413">
        <f t="shared" si="25"/>
        <v>1</v>
      </c>
      <c r="Y413">
        <v>412</v>
      </c>
      <c r="Z413" s="4">
        <f t="shared" si="26"/>
        <v>400</v>
      </c>
    </row>
    <row r="414" spans="1:26" x14ac:dyDescent="0.2">
      <c r="A414" s="11">
        <v>83</v>
      </c>
      <c r="B414" s="4">
        <v>471</v>
      </c>
      <c r="C414" s="4">
        <v>2</v>
      </c>
      <c r="D414" s="4">
        <v>2</v>
      </c>
      <c r="E414" s="4">
        <v>1</v>
      </c>
      <c r="F414" s="4">
        <v>1</v>
      </c>
      <c r="G414" t="s">
        <v>355</v>
      </c>
      <c r="H414" s="4">
        <v>4</v>
      </c>
      <c r="I414" s="4">
        <v>14</v>
      </c>
      <c r="J414" s="4">
        <v>24</v>
      </c>
      <c r="K414" s="2">
        <v>28.571428571428498</v>
      </c>
      <c r="L414" s="2">
        <v>16.6666666666666</v>
      </c>
      <c r="M414" s="2">
        <v>0.30553009471432901</v>
      </c>
      <c r="N414" s="1">
        <v>4.1228966163984396E-6</v>
      </c>
      <c r="O414" s="2">
        <v>5.3847975552036296</v>
      </c>
      <c r="P414" s="2">
        <v>54.55</v>
      </c>
      <c r="Q414" s="3">
        <v>114.622590316634</v>
      </c>
      <c r="R414" s="2">
        <v>1.23</v>
      </c>
      <c r="S414" s="2">
        <v>22.71</v>
      </c>
      <c r="T414" s="2">
        <v>1.48</v>
      </c>
      <c r="V414" s="4">
        <f t="shared" si="27"/>
        <v>199</v>
      </c>
      <c r="W414">
        <f t="shared" si="24"/>
        <v>4</v>
      </c>
      <c r="X414">
        <f t="shared" si="25"/>
        <v>1</v>
      </c>
      <c r="Y414">
        <v>413</v>
      </c>
      <c r="Z414" s="4">
        <f t="shared" si="26"/>
        <v>401</v>
      </c>
    </row>
    <row r="415" spans="1:26" x14ac:dyDescent="0.2">
      <c r="A415" s="11">
        <v>83</v>
      </c>
      <c r="B415" s="4">
        <v>471</v>
      </c>
      <c r="C415" s="4">
        <v>2</v>
      </c>
      <c r="D415" s="4">
        <v>2</v>
      </c>
      <c r="E415" s="4">
        <v>1</v>
      </c>
      <c r="F415" s="4">
        <v>2</v>
      </c>
      <c r="G415" t="s">
        <v>356</v>
      </c>
      <c r="H415" s="4">
        <v>4</v>
      </c>
      <c r="I415" s="4">
        <v>24</v>
      </c>
      <c r="J415" s="4">
        <v>14</v>
      </c>
      <c r="K415" s="2">
        <v>16.6666666666666</v>
      </c>
      <c r="L415" s="2">
        <v>28.571428571428498</v>
      </c>
      <c r="M415" s="2">
        <v>0.60919890344197303</v>
      </c>
      <c r="N415" s="1">
        <v>4.1228966163984498E-6</v>
      </c>
      <c r="O415" s="2">
        <v>5.3847975552036296</v>
      </c>
      <c r="P415" s="2">
        <v>46.9</v>
      </c>
      <c r="Q415" s="3">
        <v>114.622590316634</v>
      </c>
      <c r="R415" s="2">
        <v>1.75</v>
      </c>
      <c r="S415" s="2">
        <v>22.71</v>
      </c>
      <c r="T415" s="2">
        <v>1.48</v>
      </c>
      <c r="V415" s="4">
        <f t="shared" si="27"/>
        <v>199</v>
      </c>
      <c r="W415">
        <f t="shared" si="24"/>
        <v>4</v>
      </c>
      <c r="X415">
        <f t="shared" si="25"/>
        <v>1</v>
      </c>
      <c r="Y415">
        <v>414</v>
      </c>
      <c r="Z415" s="4">
        <f t="shared" si="26"/>
        <v>402</v>
      </c>
    </row>
    <row r="416" spans="1:26" x14ac:dyDescent="0.2">
      <c r="A416" s="11">
        <v>83</v>
      </c>
      <c r="B416" s="4">
        <v>1291</v>
      </c>
      <c r="C416" s="4">
        <v>3</v>
      </c>
      <c r="D416" s="4">
        <v>2</v>
      </c>
      <c r="E416" s="4">
        <v>1</v>
      </c>
      <c r="F416" s="4">
        <v>1</v>
      </c>
      <c r="G416" t="s">
        <v>290</v>
      </c>
      <c r="H416" s="4">
        <v>6</v>
      </c>
      <c r="I416" s="4">
        <v>25</v>
      </c>
      <c r="J416" s="4">
        <v>31</v>
      </c>
      <c r="K416" s="2">
        <v>24</v>
      </c>
      <c r="L416" s="2">
        <v>19.354838709677399</v>
      </c>
      <c r="M416" s="2">
        <v>0.58175137783220998</v>
      </c>
      <c r="N416" s="1">
        <v>1.29694536429274E-7</v>
      </c>
      <c r="O416" s="2">
        <v>6.8870783188164202</v>
      </c>
      <c r="P416" s="2">
        <v>33.269949066213897</v>
      </c>
      <c r="Q416" s="3">
        <v>119.953288004356</v>
      </c>
      <c r="R416" s="2">
        <v>0.95</v>
      </c>
      <c r="S416" s="2">
        <v>25.59</v>
      </c>
      <c r="T416" s="2">
        <v>1.67</v>
      </c>
      <c r="V416" s="4">
        <f t="shared" si="27"/>
        <v>200</v>
      </c>
      <c r="W416">
        <f t="shared" si="24"/>
        <v>4</v>
      </c>
      <c r="X416">
        <f t="shared" si="25"/>
        <v>1</v>
      </c>
      <c r="Y416">
        <v>415</v>
      </c>
      <c r="Z416" s="4">
        <f t="shared" si="26"/>
        <v>403</v>
      </c>
    </row>
    <row r="417" spans="1:26" x14ac:dyDescent="0.2">
      <c r="A417" s="11">
        <v>83</v>
      </c>
      <c r="B417" s="4">
        <v>1291</v>
      </c>
      <c r="C417" s="4">
        <v>3</v>
      </c>
      <c r="D417" s="4">
        <v>2</v>
      </c>
      <c r="E417" s="4">
        <v>2</v>
      </c>
      <c r="F417" s="4">
        <v>2</v>
      </c>
      <c r="G417" t="s">
        <v>357</v>
      </c>
      <c r="H417" s="4">
        <v>4</v>
      </c>
      <c r="I417" s="4">
        <v>14</v>
      </c>
      <c r="J417" s="4">
        <v>24</v>
      </c>
      <c r="K417" s="2">
        <v>28.571428571428498</v>
      </c>
      <c r="L417" s="2">
        <v>16.6666666666666</v>
      </c>
      <c r="M417" s="2">
        <v>0.30553009471432901</v>
      </c>
      <c r="N417" s="1">
        <v>4.1228966163984396E-6</v>
      </c>
      <c r="O417" s="2">
        <v>5.3847975552036296</v>
      </c>
      <c r="P417" s="2">
        <v>54.55</v>
      </c>
      <c r="Q417" s="3">
        <v>114.622590316634</v>
      </c>
      <c r="R417" s="2">
        <v>4.3600000000000003</v>
      </c>
      <c r="S417" s="2">
        <v>25.59</v>
      </c>
      <c r="T417" s="2">
        <v>1.67</v>
      </c>
      <c r="V417" s="4">
        <f t="shared" si="27"/>
        <v>200</v>
      </c>
      <c r="W417">
        <f t="shared" si="24"/>
        <v>4</v>
      </c>
      <c r="X417">
        <f t="shared" si="25"/>
        <v>1</v>
      </c>
      <c r="Y417">
        <v>416</v>
      </c>
      <c r="Z417" s="4">
        <f t="shared" si="26"/>
        <v>404</v>
      </c>
    </row>
    <row r="418" spans="1:26" x14ac:dyDescent="0.2">
      <c r="A418" s="11">
        <v>83</v>
      </c>
      <c r="B418" s="4">
        <v>1291</v>
      </c>
      <c r="C418" s="4">
        <v>3</v>
      </c>
      <c r="D418" s="4">
        <v>2</v>
      </c>
      <c r="E418" s="4">
        <v>2</v>
      </c>
      <c r="F418" s="4">
        <v>2</v>
      </c>
      <c r="G418" t="s">
        <v>358</v>
      </c>
      <c r="H418" s="4">
        <v>3</v>
      </c>
      <c r="I418" s="4">
        <v>18</v>
      </c>
      <c r="J418" s="4">
        <v>24</v>
      </c>
      <c r="K418" s="2">
        <v>16.6666666666666</v>
      </c>
      <c r="L418" s="2">
        <v>12.5</v>
      </c>
      <c r="M418" s="2">
        <v>0.45829514207149402</v>
      </c>
      <c r="N418" s="1">
        <v>5.15127911905764E-4</v>
      </c>
      <c r="O418" s="2">
        <v>3.2880849174883999</v>
      </c>
      <c r="P418" s="2">
        <v>27.274999999999999</v>
      </c>
      <c r="Q418" s="3">
        <v>43.381588631808903</v>
      </c>
      <c r="R418" s="2">
        <v>0.63</v>
      </c>
      <c r="S418" s="2">
        <v>25.59</v>
      </c>
      <c r="T418" s="2">
        <v>1.67</v>
      </c>
      <c r="V418" s="4">
        <f t="shared" si="27"/>
        <v>200</v>
      </c>
      <c r="W418">
        <f t="shared" si="24"/>
        <v>4</v>
      </c>
      <c r="X418">
        <f t="shared" si="25"/>
        <v>1</v>
      </c>
      <c r="Y418">
        <v>417</v>
      </c>
      <c r="Z418" s="4">
        <f t="shared" si="26"/>
        <v>404</v>
      </c>
    </row>
    <row r="419" spans="1:26" x14ac:dyDescent="0.2">
      <c r="A419" s="11">
        <v>84</v>
      </c>
      <c r="B419" s="4">
        <v>2118</v>
      </c>
      <c r="C419" s="4">
        <v>2</v>
      </c>
      <c r="D419" s="4">
        <v>2</v>
      </c>
      <c r="E419" s="4">
        <v>1</v>
      </c>
      <c r="F419" s="4">
        <v>1</v>
      </c>
      <c r="G419" t="s">
        <v>261</v>
      </c>
      <c r="H419" s="4">
        <v>4</v>
      </c>
      <c r="I419" s="4">
        <v>13</v>
      </c>
      <c r="J419" s="4">
        <v>30</v>
      </c>
      <c r="K419" s="2">
        <v>30.769230769230699</v>
      </c>
      <c r="L419" s="2">
        <v>13.3333333333333</v>
      </c>
      <c r="M419" s="2">
        <v>0.27548209366391102</v>
      </c>
      <c r="N419" s="1">
        <v>7.5322763670163996E-6</v>
      </c>
      <c r="O419" s="2">
        <v>5.1230737536489599</v>
      </c>
      <c r="P419" s="2">
        <v>48.4</v>
      </c>
      <c r="Q419" s="3">
        <v>97.951894670171299</v>
      </c>
      <c r="R419" s="2">
        <v>1.17</v>
      </c>
      <c r="S419" s="2">
        <v>22.82</v>
      </c>
      <c r="T419" s="2">
        <v>1.49</v>
      </c>
      <c r="V419" s="4">
        <f t="shared" si="27"/>
        <v>201</v>
      </c>
      <c r="W419">
        <f t="shared" si="24"/>
        <v>4</v>
      </c>
      <c r="X419">
        <f t="shared" si="25"/>
        <v>1</v>
      </c>
      <c r="Y419">
        <v>418</v>
      </c>
      <c r="Z419" s="4">
        <f t="shared" si="26"/>
        <v>405</v>
      </c>
    </row>
    <row r="420" spans="1:26" x14ac:dyDescent="0.2">
      <c r="A420" s="11">
        <v>84</v>
      </c>
      <c r="B420" s="4">
        <v>2118</v>
      </c>
      <c r="C420" s="4">
        <v>2</v>
      </c>
      <c r="D420" s="4">
        <v>2</v>
      </c>
      <c r="E420" s="4">
        <v>1</v>
      </c>
      <c r="F420" s="4">
        <v>2</v>
      </c>
      <c r="G420" t="s">
        <v>359</v>
      </c>
      <c r="H420" s="4">
        <v>4</v>
      </c>
      <c r="I420" s="4">
        <v>30</v>
      </c>
      <c r="J420" s="4">
        <v>13</v>
      </c>
      <c r="K420" s="2">
        <v>13.3333333333333</v>
      </c>
      <c r="L420" s="2">
        <v>30.769230769230699</v>
      </c>
      <c r="M420" s="2">
        <v>0.79171741778319105</v>
      </c>
      <c r="N420" s="1">
        <v>7.5322763670163903E-6</v>
      </c>
      <c r="O420" s="2">
        <v>5.1230737536489599</v>
      </c>
      <c r="P420" s="2">
        <v>38.863905325443703</v>
      </c>
      <c r="Q420" s="3">
        <v>97.951894670171299</v>
      </c>
      <c r="R420" s="2">
        <v>0.79</v>
      </c>
      <c r="S420" s="2">
        <v>22.82</v>
      </c>
      <c r="T420" s="2">
        <v>1.49</v>
      </c>
      <c r="V420" s="4">
        <f t="shared" si="27"/>
        <v>201</v>
      </c>
      <c r="W420">
        <f t="shared" si="24"/>
        <v>4</v>
      </c>
      <c r="X420">
        <f t="shared" si="25"/>
        <v>1</v>
      </c>
      <c r="Y420">
        <v>419</v>
      </c>
      <c r="Z420" s="4">
        <f t="shared" si="26"/>
        <v>406</v>
      </c>
    </row>
    <row r="421" spans="1:26" x14ac:dyDescent="0.2">
      <c r="A421" s="11">
        <v>85</v>
      </c>
      <c r="B421" s="4">
        <v>334</v>
      </c>
      <c r="C421" s="4">
        <v>2</v>
      </c>
      <c r="D421" s="4">
        <v>2</v>
      </c>
      <c r="E421" s="4">
        <v>1</v>
      </c>
      <c r="F421" s="4">
        <v>1</v>
      </c>
      <c r="G421" t="s">
        <v>360</v>
      </c>
      <c r="H421" s="4">
        <v>9</v>
      </c>
      <c r="I421" s="4">
        <v>42</v>
      </c>
      <c r="J421" s="4">
        <v>100</v>
      </c>
      <c r="K421" s="2">
        <v>21.428571428571399</v>
      </c>
      <c r="L421" s="2">
        <v>9</v>
      </c>
      <c r="M421" s="2">
        <v>1.0322177040975899</v>
      </c>
      <c r="N421" s="1">
        <v>5.8806901743418401E-6</v>
      </c>
      <c r="O421" s="2">
        <v>5.2305717009105201</v>
      </c>
      <c r="P421" s="2">
        <v>8.7190909090908999</v>
      </c>
      <c r="Q421" s="3">
        <v>42.817727852220301</v>
      </c>
      <c r="R421" s="2">
        <v>4.8899999999999997</v>
      </c>
      <c r="S421" s="2">
        <v>21.5</v>
      </c>
      <c r="T421" s="2">
        <v>1.4</v>
      </c>
      <c r="V421" s="4">
        <f t="shared" si="27"/>
        <v>202</v>
      </c>
      <c r="W421">
        <f t="shared" si="24"/>
        <v>4</v>
      </c>
      <c r="X421">
        <f t="shared" si="25"/>
        <v>1</v>
      </c>
      <c r="Y421">
        <v>420</v>
      </c>
      <c r="Z421" s="4">
        <f t="shared" si="26"/>
        <v>407</v>
      </c>
    </row>
    <row r="422" spans="1:26" x14ac:dyDescent="0.2">
      <c r="A422" s="11">
        <v>85</v>
      </c>
      <c r="B422" s="4">
        <v>334</v>
      </c>
      <c r="C422" s="4">
        <v>2</v>
      </c>
      <c r="D422" s="4">
        <v>2</v>
      </c>
      <c r="E422" s="4">
        <v>1</v>
      </c>
      <c r="F422" s="4">
        <v>2</v>
      </c>
      <c r="G422" t="s">
        <v>361</v>
      </c>
      <c r="H422" s="4">
        <v>9</v>
      </c>
      <c r="I422" s="4">
        <v>103</v>
      </c>
      <c r="J422" s="4">
        <v>42</v>
      </c>
      <c r="K422" s="2">
        <v>8.7378640776699008</v>
      </c>
      <c r="L422" s="2">
        <v>21.428571428571399</v>
      </c>
      <c r="M422" s="2">
        <v>2.8878648233486901</v>
      </c>
      <c r="N422" s="1">
        <v>7.5469499914633604E-6</v>
      </c>
      <c r="O422" s="2">
        <v>5.1222285277750599</v>
      </c>
      <c r="P422" s="2">
        <v>7.4202127659574399</v>
      </c>
      <c r="Q422" s="3">
        <v>41.170699291617197</v>
      </c>
      <c r="R422" s="2">
        <v>4.09</v>
      </c>
      <c r="S422" s="2">
        <v>21.5</v>
      </c>
      <c r="T422" s="2">
        <v>1.4</v>
      </c>
      <c r="V422" s="4">
        <f t="shared" si="27"/>
        <v>202</v>
      </c>
      <c r="W422">
        <f t="shared" si="24"/>
        <v>4</v>
      </c>
      <c r="X422">
        <f t="shared" si="25"/>
        <v>1</v>
      </c>
      <c r="Y422">
        <v>421</v>
      </c>
      <c r="Z422" s="4">
        <f t="shared" si="26"/>
        <v>408</v>
      </c>
    </row>
    <row r="423" spans="1:26" x14ac:dyDescent="0.2">
      <c r="A423" s="11">
        <v>85</v>
      </c>
      <c r="B423" s="4">
        <v>584</v>
      </c>
      <c r="C423" s="4">
        <v>2</v>
      </c>
      <c r="D423" s="4">
        <v>2</v>
      </c>
      <c r="E423" s="4">
        <v>1</v>
      </c>
      <c r="F423" s="4">
        <v>1</v>
      </c>
      <c r="G423" t="s">
        <v>133</v>
      </c>
      <c r="H423" s="4">
        <v>8</v>
      </c>
      <c r="I423" s="4">
        <v>36</v>
      </c>
      <c r="J423" s="4">
        <v>88</v>
      </c>
      <c r="K423" s="2">
        <v>22.2222222222222</v>
      </c>
      <c r="L423" s="2">
        <v>9.0909090909090899</v>
      </c>
      <c r="M423" s="2">
        <v>0.87254596447491395</v>
      </c>
      <c r="N423" s="1">
        <v>6.1442903280562399E-6</v>
      </c>
      <c r="O423" s="2">
        <v>5.2115282713466904</v>
      </c>
      <c r="P423" s="2">
        <v>10.418831168831099</v>
      </c>
      <c r="Q423" s="3">
        <v>46.226459035821399</v>
      </c>
      <c r="R423" s="2">
        <v>1.1100000000000001</v>
      </c>
      <c r="S423" s="2">
        <v>21.85</v>
      </c>
      <c r="T423" s="2">
        <v>1.42</v>
      </c>
      <c r="V423" s="4">
        <f t="shared" si="27"/>
        <v>203</v>
      </c>
      <c r="W423">
        <f t="shared" si="24"/>
        <v>4</v>
      </c>
      <c r="X423">
        <f t="shared" si="25"/>
        <v>1</v>
      </c>
      <c r="Y423">
        <v>422</v>
      </c>
      <c r="Z423" s="4">
        <f t="shared" si="26"/>
        <v>409</v>
      </c>
    </row>
    <row r="424" spans="1:26" x14ac:dyDescent="0.2">
      <c r="A424" s="11">
        <v>85</v>
      </c>
      <c r="B424" s="4">
        <v>584</v>
      </c>
      <c r="C424" s="4">
        <v>2</v>
      </c>
      <c r="D424" s="4">
        <v>2</v>
      </c>
      <c r="E424" s="4">
        <v>1</v>
      </c>
      <c r="F424" s="4">
        <v>2</v>
      </c>
      <c r="G424" t="s">
        <v>362</v>
      </c>
      <c r="H424" s="4">
        <v>8</v>
      </c>
      <c r="I424" s="4">
        <v>90</v>
      </c>
      <c r="J424" s="4">
        <v>36</v>
      </c>
      <c r="K424" s="2">
        <v>8.8888888888888893</v>
      </c>
      <c r="L424" s="2">
        <v>22.2222222222222</v>
      </c>
      <c r="M424" s="2">
        <v>2.5145660840233002</v>
      </c>
      <c r="N424" s="1">
        <v>7.2965089223129604E-6</v>
      </c>
      <c r="O424" s="2">
        <v>5.1368848821297401</v>
      </c>
      <c r="P424" s="2">
        <v>8.8373983739837403</v>
      </c>
      <c r="Q424" s="3">
        <v>44.925814296162102</v>
      </c>
      <c r="R424" s="2">
        <v>999</v>
      </c>
      <c r="S424" s="2">
        <v>21.85</v>
      </c>
      <c r="T424" s="2">
        <v>1.42</v>
      </c>
      <c r="V424" s="4">
        <f t="shared" si="27"/>
        <v>203</v>
      </c>
      <c r="W424">
        <f t="shared" si="24"/>
        <v>4</v>
      </c>
      <c r="X424">
        <f t="shared" si="25"/>
        <v>1</v>
      </c>
      <c r="Y424">
        <v>423</v>
      </c>
      <c r="Z424" s="4">
        <f t="shared" si="26"/>
        <v>410</v>
      </c>
    </row>
    <row r="425" spans="1:26" x14ac:dyDescent="0.2">
      <c r="A425" s="11">
        <v>86</v>
      </c>
      <c r="B425" s="4">
        <v>89</v>
      </c>
      <c r="C425" s="4">
        <v>2</v>
      </c>
      <c r="D425" s="4">
        <v>2</v>
      </c>
      <c r="E425" s="4">
        <v>1</v>
      </c>
      <c r="F425" s="4">
        <v>1</v>
      </c>
      <c r="G425" t="s">
        <v>195</v>
      </c>
      <c r="H425" s="4">
        <v>5</v>
      </c>
      <c r="I425" s="4">
        <v>89</v>
      </c>
      <c r="J425" s="4">
        <v>10</v>
      </c>
      <c r="K425" s="2">
        <v>5.61797752808988</v>
      </c>
      <c r="L425" s="2">
        <v>50</v>
      </c>
      <c r="M425" s="2">
        <v>2.55552175235777</v>
      </c>
      <c r="N425" s="1">
        <v>5.8053167389642001E-6</v>
      </c>
      <c r="O425" s="2">
        <v>5.2361740801059904</v>
      </c>
      <c r="P425" s="2">
        <v>19.565476190476101</v>
      </c>
      <c r="Q425" s="3">
        <v>68.3321898972886</v>
      </c>
      <c r="R425" s="2">
        <v>3.22</v>
      </c>
      <c r="S425" s="2">
        <v>21.43</v>
      </c>
      <c r="T425" s="2">
        <v>1.4</v>
      </c>
      <c r="V425" s="4">
        <f t="shared" si="27"/>
        <v>204</v>
      </c>
      <c r="W425">
        <f t="shared" si="24"/>
        <v>4</v>
      </c>
      <c r="X425">
        <f t="shared" si="25"/>
        <v>1</v>
      </c>
      <c r="Y425">
        <v>424</v>
      </c>
      <c r="Z425" s="4">
        <f t="shared" si="26"/>
        <v>411</v>
      </c>
    </row>
    <row r="426" spans="1:26" x14ac:dyDescent="0.2">
      <c r="A426" s="11">
        <v>86</v>
      </c>
      <c r="B426" s="4">
        <v>89</v>
      </c>
      <c r="C426" s="4">
        <v>2</v>
      </c>
      <c r="D426" s="4">
        <v>2</v>
      </c>
      <c r="E426" s="4">
        <v>1</v>
      </c>
      <c r="F426" s="4">
        <v>2</v>
      </c>
      <c r="G426" t="s">
        <v>363</v>
      </c>
      <c r="H426" s="4">
        <v>5</v>
      </c>
      <c r="I426" s="4">
        <v>10</v>
      </c>
      <c r="J426" s="4">
        <v>84</v>
      </c>
      <c r="K426" s="2">
        <v>50</v>
      </c>
      <c r="L426" s="2">
        <v>5.9523809523809499</v>
      </c>
      <c r="M426" s="2">
        <v>0.155617802676626</v>
      </c>
      <c r="N426" s="1">
        <v>4.3457395596102201E-6</v>
      </c>
      <c r="O426" s="2">
        <v>5.3619363045256998</v>
      </c>
      <c r="P426" s="2">
        <v>38.25</v>
      </c>
      <c r="Q426" s="3">
        <v>72.806160446381099</v>
      </c>
      <c r="R426" s="2">
        <v>0.74</v>
      </c>
      <c r="S426" s="2">
        <v>21.43</v>
      </c>
      <c r="T426" s="2">
        <v>1.4</v>
      </c>
      <c r="V426" s="4">
        <f t="shared" si="27"/>
        <v>204</v>
      </c>
      <c r="W426">
        <f t="shared" si="24"/>
        <v>4</v>
      </c>
      <c r="X426">
        <f t="shared" si="25"/>
        <v>1</v>
      </c>
      <c r="Y426">
        <v>425</v>
      </c>
      <c r="Z426" s="4">
        <f t="shared" si="26"/>
        <v>412</v>
      </c>
    </row>
    <row r="427" spans="1:26" x14ac:dyDescent="0.2">
      <c r="A427" s="11">
        <v>86</v>
      </c>
      <c r="B427" s="4">
        <v>331</v>
      </c>
      <c r="C427" s="4">
        <v>2</v>
      </c>
      <c r="D427" s="4">
        <v>2</v>
      </c>
      <c r="E427" s="4">
        <v>1</v>
      </c>
      <c r="F427" s="4">
        <v>1</v>
      </c>
      <c r="G427" t="s">
        <v>364</v>
      </c>
      <c r="H427" s="4">
        <v>5</v>
      </c>
      <c r="I427" s="4">
        <v>17</v>
      </c>
      <c r="J427" s="4">
        <v>31</v>
      </c>
      <c r="K427" s="2">
        <v>29.411764705882302</v>
      </c>
      <c r="L427" s="2">
        <v>16.129032258064498</v>
      </c>
      <c r="M427" s="2">
        <v>0.36742192284139602</v>
      </c>
      <c r="N427" s="1">
        <v>6.00176893103755E-7</v>
      </c>
      <c r="O427" s="2">
        <v>6.2217207289889798</v>
      </c>
      <c r="P427" s="2">
        <v>43.8978494623655</v>
      </c>
      <c r="Q427" s="3">
        <v>119.58238909441</v>
      </c>
      <c r="R427" s="2">
        <v>1.5</v>
      </c>
      <c r="S427" s="2">
        <v>23.35</v>
      </c>
      <c r="T427" s="2">
        <v>1.52</v>
      </c>
      <c r="V427" s="4">
        <f t="shared" si="27"/>
        <v>205</v>
      </c>
      <c r="W427">
        <f t="shared" si="24"/>
        <v>4</v>
      </c>
      <c r="X427">
        <f t="shared" si="25"/>
        <v>1</v>
      </c>
      <c r="Y427">
        <v>426</v>
      </c>
      <c r="Z427" s="4">
        <f t="shared" si="26"/>
        <v>413</v>
      </c>
    </row>
    <row r="428" spans="1:26" x14ac:dyDescent="0.2">
      <c r="A428" s="11">
        <v>86</v>
      </c>
      <c r="B428" s="4">
        <v>331</v>
      </c>
      <c r="C428" s="4">
        <v>2</v>
      </c>
      <c r="D428" s="4">
        <v>2</v>
      </c>
      <c r="E428" s="4">
        <v>1</v>
      </c>
      <c r="F428" s="4">
        <v>2</v>
      </c>
      <c r="G428" t="s">
        <v>365</v>
      </c>
      <c r="H428" s="4">
        <v>5</v>
      </c>
      <c r="I428" s="4">
        <v>31</v>
      </c>
      <c r="J428" s="4">
        <v>17</v>
      </c>
      <c r="K428" s="2">
        <v>16.129032258064498</v>
      </c>
      <c r="L428" s="2">
        <v>29.411764705882302</v>
      </c>
      <c r="M428" s="2">
        <v>0.792682926829268</v>
      </c>
      <c r="N428" s="1">
        <v>6.0017689310375701E-7</v>
      </c>
      <c r="O428" s="2">
        <v>6.2217207289889798</v>
      </c>
      <c r="P428" s="2">
        <v>37.104072398189999</v>
      </c>
      <c r="Q428" s="3">
        <v>119.58238909441</v>
      </c>
      <c r="R428" s="2">
        <v>1.29</v>
      </c>
      <c r="S428" s="2">
        <v>23.35</v>
      </c>
      <c r="T428" s="2">
        <v>1.52</v>
      </c>
      <c r="V428" s="4">
        <f t="shared" si="27"/>
        <v>205</v>
      </c>
      <c r="W428">
        <f t="shared" si="24"/>
        <v>4</v>
      </c>
      <c r="X428">
        <f t="shared" si="25"/>
        <v>1</v>
      </c>
      <c r="Y428">
        <v>427</v>
      </c>
      <c r="Z428" s="4">
        <f t="shared" si="26"/>
        <v>414</v>
      </c>
    </row>
    <row r="429" spans="1:26" x14ac:dyDescent="0.2">
      <c r="A429" s="11">
        <v>87</v>
      </c>
      <c r="B429" s="4">
        <v>1452</v>
      </c>
      <c r="C429" s="4">
        <v>2</v>
      </c>
      <c r="D429" s="4">
        <v>2</v>
      </c>
      <c r="E429" s="4">
        <v>1</v>
      </c>
      <c r="F429" s="4">
        <v>1</v>
      </c>
      <c r="G429" t="s">
        <v>366</v>
      </c>
      <c r="H429" s="4">
        <v>4</v>
      </c>
      <c r="I429" s="4">
        <v>13</v>
      </c>
      <c r="J429" s="4">
        <v>25</v>
      </c>
      <c r="K429" s="2">
        <v>30.769230769230699</v>
      </c>
      <c r="L429" s="2">
        <v>16</v>
      </c>
      <c r="M429" s="2">
        <v>0.27506112469437599</v>
      </c>
      <c r="N429" s="1">
        <v>3.51526160751631E-6</v>
      </c>
      <c r="O429" s="2">
        <v>5.4540423490302103</v>
      </c>
      <c r="P429" s="2">
        <v>58.168888888888802</v>
      </c>
      <c r="Q429" s="3">
        <v>118.735059239997</v>
      </c>
      <c r="R429" s="2">
        <v>0.64</v>
      </c>
      <c r="S429" s="2">
        <v>19.3</v>
      </c>
      <c r="T429" s="2">
        <v>1.26</v>
      </c>
      <c r="V429" s="4">
        <f t="shared" si="27"/>
        <v>206</v>
      </c>
      <c r="W429">
        <f t="shared" si="24"/>
        <v>4</v>
      </c>
      <c r="X429">
        <f t="shared" si="25"/>
        <v>1</v>
      </c>
      <c r="Y429">
        <v>428</v>
      </c>
      <c r="Z429" s="4">
        <f t="shared" si="26"/>
        <v>415</v>
      </c>
    </row>
    <row r="430" spans="1:26" x14ac:dyDescent="0.2">
      <c r="A430" s="11">
        <v>87</v>
      </c>
      <c r="B430" s="4">
        <v>1452</v>
      </c>
      <c r="C430" s="4">
        <v>2</v>
      </c>
      <c r="D430" s="4">
        <v>2</v>
      </c>
      <c r="E430" s="4">
        <v>1</v>
      </c>
      <c r="F430" s="4">
        <v>2</v>
      </c>
      <c r="G430" t="s">
        <v>124</v>
      </c>
      <c r="H430" s="4">
        <v>4</v>
      </c>
      <c r="I430" s="4">
        <v>25</v>
      </c>
      <c r="J430" s="4">
        <v>12</v>
      </c>
      <c r="K430" s="2">
        <v>16</v>
      </c>
      <c r="L430" s="2">
        <v>33.3333333333333</v>
      </c>
      <c r="M430" s="2">
        <v>0.63926940639269403</v>
      </c>
      <c r="N430" s="1">
        <v>2.4461259022636402E-6</v>
      </c>
      <c r="O430" s="2">
        <v>5.6115211935584499</v>
      </c>
      <c r="P430" s="2">
        <v>52.142857142857103</v>
      </c>
      <c r="Q430" s="3">
        <v>129.16445232901799</v>
      </c>
      <c r="R430" s="2">
        <v>11.19</v>
      </c>
      <c r="S430" s="2">
        <v>19.3</v>
      </c>
      <c r="T430" s="2">
        <v>1.26</v>
      </c>
      <c r="V430" s="4">
        <f t="shared" si="27"/>
        <v>206</v>
      </c>
      <c r="W430">
        <f t="shared" si="24"/>
        <v>4</v>
      </c>
      <c r="X430">
        <f t="shared" si="25"/>
        <v>1</v>
      </c>
      <c r="Y430">
        <v>429</v>
      </c>
      <c r="Z430" s="4">
        <f t="shared" si="26"/>
        <v>416</v>
      </c>
    </row>
    <row r="431" spans="1:26" x14ac:dyDescent="0.2">
      <c r="A431" s="11">
        <v>87</v>
      </c>
      <c r="B431" s="4">
        <v>1884</v>
      </c>
      <c r="C431" s="4">
        <v>2</v>
      </c>
      <c r="D431" s="4">
        <v>2</v>
      </c>
      <c r="E431" s="4">
        <v>1</v>
      </c>
      <c r="F431" s="4">
        <v>1</v>
      </c>
      <c r="G431" t="s">
        <v>367</v>
      </c>
      <c r="H431" s="4">
        <v>4</v>
      </c>
      <c r="I431" s="4">
        <v>6</v>
      </c>
      <c r="J431" s="4">
        <v>77</v>
      </c>
      <c r="K431" s="2">
        <v>66.6666666666666</v>
      </c>
      <c r="L431" s="2">
        <v>5.1948051948051903</v>
      </c>
      <c r="M431" s="2">
        <v>6.2111801242236003E-2</v>
      </c>
      <c r="N431" s="1">
        <v>7.9706734541386197E-6</v>
      </c>
      <c r="O431" s="2">
        <v>5.0985049828623596</v>
      </c>
      <c r="P431" s="2">
        <v>83.636363636363598</v>
      </c>
      <c r="Q431" s="3">
        <v>82.637417196918605</v>
      </c>
      <c r="R431" s="2">
        <v>0.76</v>
      </c>
      <c r="S431" s="2">
        <v>23.37</v>
      </c>
      <c r="T431" s="2">
        <v>1.52</v>
      </c>
      <c r="V431" s="4">
        <f t="shared" si="27"/>
        <v>207</v>
      </c>
      <c r="W431">
        <f t="shared" si="24"/>
        <v>4</v>
      </c>
      <c r="X431">
        <f t="shared" si="25"/>
        <v>1</v>
      </c>
      <c r="Y431">
        <v>430</v>
      </c>
      <c r="Z431" s="4">
        <f t="shared" si="26"/>
        <v>417</v>
      </c>
    </row>
    <row r="432" spans="1:26" x14ac:dyDescent="0.2">
      <c r="A432" s="11">
        <v>87</v>
      </c>
      <c r="B432" s="4">
        <v>1884</v>
      </c>
      <c r="C432" s="4">
        <v>2</v>
      </c>
      <c r="D432" s="4">
        <v>2</v>
      </c>
      <c r="E432" s="4">
        <v>1</v>
      </c>
      <c r="F432" s="4">
        <v>2</v>
      </c>
      <c r="G432" t="s">
        <v>368</v>
      </c>
      <c r="H432" s="4">
        <v>4</v>
      </c>
      <c r="I432" s="4">
        <v>79</v>
      </c>
      <c r="J432" s="4">
        <v>6</v>
      </c>
      <c r="K432" s="2">
        <v>5.0632911392404996</v>
      </c>
      <c r="L432" s="2">
        <v>66.6666666666666</v>
      </c>
      <c r="M432" s="2">
        <v>2.2789425706472102</v>
      </c>
      <c r="N432" s="1">
        <v>8.8408546744984493E-6</v>
      </c>
      <c r="O432" s="2">
        <v>5.0535057482814603</v>
      </c>
      <c r="P432" s="2">
        <v>29.253333333333298</v>
      </c>
      <c r="Q432" s="3">
        <v>80.420870261438594</v>
      </c>
      <c r="R432" s="2">
        <v>6.2</v>
      </c>
      <c r="S432" s="2">
        <v>23.37</v>
      </c>
      <c r="T432" s="2">
        <v>1.52</v>
      </c>
      <c r="V432" s="4">
        <f t="shared" si="27"/>
        <v>207</v>
      </c>
      <c r="W432">
        <f t="shared" si="24"/>
        <v>4</v>
      </c>
      <c r="X432">
        <f t="shared" si="25"/>
        <v>1</v>
      </c>
      <c r="Y432">
        <v>431</v>
      </c>
      <c r="Z432" s="4">
        <f t="shared" si="26"/>
        <v>418</v>
      </c>
    </row>
    <row r="433" spans="1:26" x14ac:dyDescent="0.2">
      <c r="A433" s="11">
        <v>88</v>
      </c>
      <c r="B433" s="4">
        <v>483</v>
      </c>
      <c r="C433" s="4">
        <v>2</v>
      </c>
      <c r="D433" s="4">
        <v>2</v>
      </c>
      <c r="E433" s="4">
        <v>1</v>
      </c>
      <c r="F433" s="4">
        <v>1</v>
      </c>
      <c r="G433" t="s">
        <v>369</v>
      </c>
      <c r="H433" s="4">
        <v>4</v>
      </c>
      <c r="I433" s="4">
        <v>4</v>
      </c>
      <c r="J433" s="4">
        <v>93</v>
      </c>
      <c r="K433" s="2">
        <v>100</v>
      </c>
      <c r="L433" s="2">
        <v>4.3010752688171996</v>
      </c>
      <c r="M433" s="2">
        <v>0</v>
      </c>
      <c r="N433" s="1">
        <v>1.1882272538882301E-6</v>
      </c>
      <c r="O433" s="2">
        <v>5.9251004906081004</v>
      </c>
      <c r="P433" s="2" t="s">
        <v>370</v>
      </c>
      <c r="Q433" s="3">
        <v>104.761978416205</v>
      </c>
      <c r="R433" s="2">
        <v>1.22</v>
      </c>
      <c r="S433" s="2">
        <v>22.29</v>
      </c>
      <c r="T433" s="2">
        <v>1.45</v>
      </c>
      <c r="V433" s="4">
        <f t="shared" si="27"/>
        <v>208</v>
      </c>
      <c r="W433">
        <f t="shared" si="24"/>
        <v>4</v>
      </c>
      <c r="X433">
        <f t="shared" si="25"/>
        <v>1</v>
      </c>
      <c r="Y433">
        <v>432</v>
      </c>
      <c r="Z433" s="4">
        <f t="shared" si="26"/>
        <v>419</v>
      </c>
    </row>
    <row r="434" spans="1:26" x14ac:dyDescent="0.2">
      <c r="A434" s="11">
        <v>88</v>
      </c>
      <c r="B434" s="4">
        <v>483</v>
      </c>
      <c r="C434" s="4">
        <v>2</v>
      </c>
      <c r="D434" s="4">
        <v>2</v>
      </c>
      <c r="E434" s="4">
        <v>1</v>
      </c>
      <c r="F434" s="4">
        <v>2</v>
      </c>
      <c r="G434" t="s">
        <v>125</v>
      </c>
      <c r="H434" s="4">
        <v>4</v>
      </c>
      <c r="I434" s="4">
        <v>94</v>
      </c>
      <c r="J434" s="4">
        <v>4</v>
      </c>
      <c r="K434" s="2">
        <v>4.2553191489361701</v>
      </c>
      <c r="L434" s="2">
        <v>100</v>
      </c>
      <c r="M434" s="2">
        <v>2.73307014880048</v>
      </c>
      <c r="N434" s="1">
        <v>1.24103735406104E-6</v>
      </c>
      <c r="O434" s="2">
        <v>5.9062151464477299</v>
      </c>
      <c r="P434" s="2">
        <v>36.588888888888803</v>
      </c>
      <c r="Q434" s="3">
        <v>103.60558953114401</v>
      </c>
      <c r="R434" s="2">
        <v>0.52</v>
      </c>
      <c r="S434" s="2">
        <v>22.29</v>
      </c>
      <c r="T434" s="2">
        <v>1.45</v>
      </c>
      <c r="V434" s="4">
        <f t="shared" si="27"/>
        <v>208</v>
      </c>
      <c r="W434">
        <f t="shared" si="24"/>
        <v>4</v>
      </c>
      <c r="X434">
        <f t="shared" si="25"/>
        <v>1</v>
      </c>
      <c r="Y434">
        <v>433</v>
      </c>
      <c r="Z434" s="4">
        <f t="shared" si="26"/>
        <v>420</v>
      </c>
    </row>
    <row r="435" spans="1:26" x14ac:dyDescent="0.2">
      <c r="A435" s="11">
        <v>90</v>
      </c>
      <c r="B435" s="4">
        <v>231</v>
      </c>
      <c r="C435" s="4">
        <v>2</v>
      </c>
      <c r="D435" s="4">
        <v>2</v>
      </c>
      <c r="E435" s="4">
        <v>1</v>
      </c>
      <c r="F435" s="4">
        <v>1</v>
      </c>
      <c r="G435" t="s">
        <v>371</v>
      </c>
      <c r="H435" s="4">
        <v>4</v>
      </c>
      <c r="I435" s="4">
        <v>5</v>
      </c>
      <c r="J435" s="4">
        <v>88</v>
      </c>
      <c r="K435" s="2">
        <v>80</v>
      </c>
      <c r="L435" s="2">
        <v>4.5454545454545396</v>
      </c>
      <c r="M435" s="2">
        <v>3.1162355874104E-2</v>
      </c>
      <c r="N435" s="1">
        <v>4.6481468959318904E-6</v>
      </c>
      <c r="O435" s="2">
        <v>5.3327201553413603</v>
      </c>
      <c r="P435" s="2">
        <v>145.863636363636</v>
      </c>
      <c r="Q435" s="3">
        <v>87.3863415899025</v>
      </c>
      <c r="R435" s="2">
        <v>0.22</v>
      </c>
      <c r="S435" s="2">
        <v>21.46</v>
      </c>
      <c r="T435" s="2">
        <v>1.4</v>
      </c>
      <c r="V435" s="4">
        <f t="shared" si="27"/>
        <v>209</v>
      </c>
      <c r="W435">
        <f t="shared" si="24"/>
        <v>4</v>
      </c>
      <c r="X435">
        <f t="shared" si="25"/>
        <v>1</v>
      </c>
      <c r="Y435">
        <v>434</v>
      </c>
      <c r="Z435" s="4">
        <f t="shared" si="26"/>
        <v>421</v>
      </c>
    </row>
    <row r="436" spans="1:26" x14ac:dyDescent="0.2">
      <c r="A436" s="11">
        <v>90</v>
      </c>
      <c r="B436" s="4">
        <v>231</v>
      </c>
      <c r="C436" s="4">
        <v>2</v>
      </c>
      <c r="D436" s="4">
        <v>2</v>
      </c>
      <c r="E436" s="4">
        <v>1</v>
      </c>
      <c r="F436" s="4">
        <v>2</v>
      </c>
      <c r="G436" t="s">
        <v>372</v>
      </c>
      <c r="H436" s="4">
        <v>4</v>
      </c>
      <c r="I436" s="4">
        <v>92</v>
      </c>
      <c r="J436" s="4">
        <v>5</v>
      </c>
      <c r="K436" s="2">
        <v>4.3478260869565197</v>
      </c>
      <c r="L436" s="2">
        <v>80</v>
      </c>
      <c r="M436" s="2">
        <v>2.6731470230862699</v>
      </c>
      <c r="N436" s="1">
        <v>5.5640528165943297E-6</v>
      </c>
      <c r="O436" s="2">
        <v>5.2546087561338704</v>
      </c>
      <c r="P436" s="2">
        <v>29.927272727272701</v>
      </c>
      <c r="Q436" s="3">
        <v>83.389924131519294</v>
      </c>
      <c r="R436" s="2">
        <v>5.46</v>
      </c>
      <c r="S436" s="2">
        <v>21.46</v>
      </c>
      <c r="T436" s="2">
        <v>1.4</v>
      </c>
      <c r="V436" s="4">
        <f t="shared" si="27"/>
        <v>209</v>
      </c>
      <c r="W436">
        <f t="shared" si="24"/>
        <v>4</v>
      </c>
      <c r="X436">
        <f t="shared" si="25"/>
        <v>1</v>
      </c>
      <c r="Y436">
        <v>435</v>
      </c>
      <c r="Z436" s="4">
        <f t="shared" si="26"/>
        <v>422</v>
      </c>
    </row>
    <row r="437" spans="1:26" x14ac:dyDescent="0.2">
      <c r="A437" s="11">
        <v>90</v>
      </c>
      <c r="B437" s="4">
        <v>1564</v>
      </c>
      <c r="C437" s="4">
        <v>2</v>
      </c>
      <c r="D437" s="4">
        <v>2</v>
      </c>
      <c r="E437" s="4">
        <v>1</v>
      </c>
      <c r="F437" s="4">
        <v>1</v>
      </c>
      <c r="G437" t="s">
        <v>373</v>
      </c>
      <c r="H437" s="4">
        <v>5</v>
      </c>
      <c r="I437" s="4">
        <v>17</v>
      </c>
      <c r="J437" s="4">
        <v>51</v>
      </c>
      <c r="K437" s="2">
        <v>29.411764705882302</v>
      </c>
      <c r="L437" s="2">
        <v>9.8039215686274499</v>
      </c>
      <c r="M437" s="2">
        <v>0.36968576709796602</v>
      </c>
      <c r="N437" s="1">
        <v>7.8048531316204194E-6</v>
      </c>
      <c r="O437" s="2">
        <v>5.1076352648920098</v>
      </c>
      <c r="P437" s="2">
        <v>26.519607843137202</v>
      </c>
      <c r="Q437" s="3">
        <v>69.7010329847691</v>
      </c>
      <c r="R437" s="2">
        <v>0.37</v>
      </c>
      <c r="S437" s="2">
        <v>23.18</v>
      </c>
      <c r="T437" s="2">
        <v>1.51</v>
      </c>
      <c r="V437" s="4">
        <f t="shared" si="27"/>
        <v>210</v>
      </c>
      <c r="W437">
        <f t="shared" si="24"/>
        <v>4</v>
      </c>
      <c r="X437">
        <f t="shared" si="25"/>
        <v>1</v>
      </c>
      <c r="Y437">
        <v>436</v>
      </c>
      <c r="Z437" s="4">
        <f t="shared" si="26"/>
        <v>423</v>
      </c>
    </row>
    <row r="438" spans="1:26" x14ac:dyDescent="0.2">
      <c r="A438" s="11">
        <v>90</v>
      </c>
      <c r="B438" s="4">
        <v>1564</v>
      </c>
      <c r="C438" s="4">
        <v>2</v>
      </c>
      <c r="D438" s="4">
        <v>2</v>
      </c>
      <c r="E438" s="4">
        <v>1</v>
      </c>
      <c r="F438" s="4">
        <v>2</v>
      </c>
      <c r="G438" t="s">
        <v>374</v>
      </c>
      <c r="H438" s="4">
        <v>5</v>
      </c>
      <c r="I438" s="4">
        <v>52</v>
      </c>
      <c r="J438" s="4">
        <v>16</v>
      </c>
      <c r="K438" s="2">
        <v>9.6153846153846096</v>
      </c>
      <c r="L438" s="2">
        <v>31.25</v>
      </c>
      <c r="M438" s="2">
        <v>1.43249009448338</v>
      </c>
      <c r="N438" s="1">
        <v>6.1498374271934796E-6</v>
      </c>
      <c r="O438" s="2">
        <v>5.2111363647784001</v>
      </c>
      <c r="P438" s="2">
        <v>21.815159574468002</v>
      </c>
      <c r="Q438" s="3">
        <v>72.997822445857807</v>
      </c>
      <c r="R438" s="2">
        <v>9.7899999999999991</v>
      </c>
      <c r="S438" s="2">
        <v>23.18</v>
      </c>
      <c r="T438" s="2">
        <v>1.51</v>
      </c>
      <c r="V438" s="4">
        <f t="shared" si="27"/>
        <v>210</v>
      </c>
      <c r="W438">
        <f t="shared" si="24"/>
        <v>4</v>
      </c>
      <c r="X438">
        <f t="shared" si="25"/>
        <v>1</v>
      </c>
      <c r="Y438">
        <v>437</v>
      </c>
      <c r="Z438" s="4">
        <f t="shared" si="26"/>
        <v>424</v>
      </c>
    </row>
    <row r="439" spans="1:26" x14ac:dyDescent="0.2">
      <c r="A439" s="11">
        <v>92</v>
      </c>
      <c r="B439" s="4">
        <v>38</v>
      </c>
      <c r="C439" s="4">
        <v>2</v>
      </c>
      <c r="D439" s="4">
        <v>2</v>
      </c>
      <c r="E439" s="4">
        <v>1</v>
      </c>
      <c r="F439" s="4">
        <v>1</v>
      </c>
      <c r="G439" t="s">
        <v>375</v>
      </c>
      <c r="H439" s="4">
        <v>4</v>
      </c>
      <c r="I439" s="4">
        <v>28</v>
      </c>
      <c r="J439" s="4">
        <v>14</v>
      </c>
      <c r="K439" s="2">
        <v>14.285714285714199</v>
      </c>
      <c r="L439" s="2">
        <v>28.571428571428498</v>
      </c>
      <c r="M439" s="2">
        <v>0.73103868413036799</v>
      </c>
      <c r="N439" s="1">
        <v>7.8671491967271005E-6</v>
      </c>
      <c r="O439" s="2">
        <v>5.1041826135653396</v>
      </c>
      <c r="P439" s="2">
        <v>39.0833333333333</v>
      </c>
      <c r="Q439" s="3">
        <v>97.387235729809106</v>
      </c>
      <c r="R439" s="2">
        <v>5.43</v>
      </c>
      <c r="S439" s="2">
        <v>27</v>
      </c>
      <c r="T439" s="2">
        <v>1.76</v>
      </c>
      <c r="V439" s="4">
        <f t="shared" si="27"/>
        <v>211</v>
      </c>
      <c r="W439">
        <f t="shared" si="24"/>
        <v>4</v>
      </c>
      <c r="X439">
        <f t="shared" si="25"/>
        <v>1</v>
      </c>
      <c r="Y439">
        <v>438</v>
      </c>
      <c r="Z439" s="4">
        <f t="shared" si="26"/>
        <v>425</v>
      </c>
    </row>
    <row r="440" spans="1:26" x14ac:dyDescent="0.2">
      <c r="A440" s="11">
        <v>92</v>
      </c>
      <c r="B440" s="4">
        <v>38</v>
      </c>
      <c r="C440" s="4">
        <v>2</v>
      </c>
      <c r="D440" s="4">
        <v>2</v>
      </c>
      <c r="E440" s="4">
        <v>1</v>
      </c>
      <c r="F440" s="4">
        <v>2</v>
      </c>
      <c r="G440" t="s">
        <v>376</v>
      </c>
      <c r="H440" s="4">
        <v>4</v>
      </c>
      <c r="I440" s="4">
        <v>15</v>
      </c>
      <c r="J440" s="4">
        <v>27</v>
      </c>
      <c r="K440" s="2">
        <v>26.6666666666666</v>
      </c>
      <c r="L440" s="2">
        <v>14.814814814814801</v>
      </c>
      <c r="M440" s="2">
        <v>0.336391437308868</v>
      </c>
      <c r="N440" s="1">
        <v>9.1663264534073195E-6</v>
      </c>
      <c r="O440" s="2">
        <v>5.0378046796693701</v>
      </c>
      <c r="P440" s="2">
        <v>44.040404040403999</v>
      </c>
      <c r="Q440" s="3">
        <v>94.041388718062393</v>
      </c>
      <c r="R440" s="2">
        <v>0.51</v>
      </c>
      <c r="S440" s="2">
        <v>27</v>
      </c>
      <c r="T440" s="2">
        <v>1.76</v>
      </c>
      <c r="V440" s="4">
        <f t="shared" si="27"/>
        <v>211</v>
      </c>
      <c r="W440">
        <f t="shared" si="24"/>
        <v>4</v>
      </c>
      <c r="X440">
        <f t="shared" si="25"/>
        <v>1</v>
      </c>
      <c r="Y440">
        <v>439</v>
      </c>
      <c r="Z440" s="4">
        <f t="shared" si="26"/>
        <v>426</v>
      </c>
    </row>
    <row r="441" spans="1:26" x14ac:dyDescent="0.2">
      <c r="A441" s="11">
        <v>92</v>
      </c>
      <c r="B441" s="4">
        <v>82</v>
      </c>
      <c r="C441" s="4">
        <v>2</v>
      </c>
      <c r="D441" s="4">
        <v>2</v>
      </c>
      <c r="E441" s="4">
        <v>1</v>
      </c>
      <c r="F441" s="4">
        <v>1</v>
      </c>
      <c r="G441" t="s">
        <v>377</v>
      </c>
      <c r="H441" s="4">
        <v>5</v>
      </c>
      <c r="I441" s="4">
        <v>62</v>
      </c>
      <c r="J441" s="4">
        <v>9</v>
      </c>
      <c r="K441" s="2">
        <v>8.0645161290322491</v>
      </c>
      <c r="L441" s="2">
        <v>55.5555555555555</v>
      </c>
      <c r="M441" s="2">
        <v>1.7335766423357599</v>
      </c>
      <c r="N441" s="1">
        <v>4.7537279806739199E-7</v>
      </c>
      <c r="O441" s="2">
        <v>6.3229656732330399</v>
      </c>
      <c r="P441" s="2">
        <v>32.046783625730903</v>
      </c>
      <c r="Q441" s="3">
        <v>113.251464324621</v>
      </c>
      <c r="R441" s="2">
        <v>17.61</v>
      </c>
      <c r="S441" s="2">
        <v>21.21</v>
      </c>
      <c r="T441" s="2">
        <v>1.38</v>
      </c>
      <c r="V441" s="4">
        <f t="shared" si="27"/>
        <v>212</v>
      </c>
      <c r="W441">
        <f t="shared" si="24"/>
        <v>4</v>
      </c>
      <c r="X441">
        <f t="shared" si="25"/>
        <v>1</v>
      </c>
      <c r="Y441">
        <v>440</v>
      </c>
      <c r="Z441" s="4">
        <f t="shared" si="26"/>
        <v>427</v>
      </c>
    </row>
    <row r="442" spans="1:26" x14ac:dyDescent="0.2">
      <c r="A442" s="11">
        <v>92</v>
      </c>
      <c r="B442" s="4">
        <v>82</v>
      </c>
      <c r="C442" s="4">
        <v>2</v>
      </c>
      <c r="D442" s="4">
        <v>2</v>
      </c>
      <c r="E442" s="4">
        <v>1</v>
      </c>
      <c r="F442" s="4">
        <v>2</v>
      </c>
      <c r="G442" t="s">
        <v>378</v>
      </c>
      <c r="H442" s="4">
        <v>5</v>
      </c>
      <c r="I442" s="4">
        <v>9</v>
      </c>
      <c r="J442" s="4">
        <v>62</v>
      </c>
      <c r="K442" s="2">
        <v>55.5555555555555</v>
      </c>
      <c r="L442" s="2">
        <v>8.0645161290322491</v>
      </c>
      <c r="M442" s="2">
        <v>0.123647604327666</v>
      </c>
      <c r="N442" s="1">
        <v>4.7537279806739099E-7</v>
      </c>
      <c r="O442" s="2">
        <v>6.3229656732330399</v>
      </c>
      <c r="P442" s="2">
        <v>65.221774193548299</v>
      </c>
      <c r="Q442" s="3">
        <v>113.251464324621</v>
      </c>
      <c r="R442" s="2">
        <v>0.37</v>
      </c>
      <c r="S442" s="2">
        <v>21.21</v>
      </c>
      <c r="T442" s="2">
        <v>1.38</v>
      </c>
      <c r="V442" s="4">
        <f t="shared" si="27"/>
        <v>212</v>
      </c>
      <c r="W442">
        <f t="shared" si="24"/>
        <v>4</v>
      </c>
      <c r="X442">
        <f t="shared" si="25"/>
        <v>1</v>
      </c>
      <c r="Y442">
        <v>441</v>
      </c>
      <c r="Z442" s="4">
        <f t="shared" si="26"/>
        <v>428</v>
      </c>
    </row>
    <row r="443" spans="1:26" x14ac:dyDescent="0.2">
      <c r="A443" s="11">
        <v>92</v>
      </c>
      <c r="B443" s="4">
        <v>997</v>
      </c>
      <c r="C443" s="4">
        <v>2</v>
      </c>
      <c r="D443" s="4">
        <v>2</v>
      </c>
      <c r="E443" s="4">
        <v>1</v>
      </c>
      <c r="F443" s="4">
        <v>1</v>
      </c>
      <c r="G443" t="s">
        <v>168</v>
      </c>
      <c r="H443" s="4">
        <v>4</v>
      </c>
      <c r="I443" s="4">
        <v>37</v>
      </c>
      <c r="J443" s="4">
        <v>8</v>
      </c>
      <c r="K443" s="2">
        <v>10.8108108108108</v>
      </c>
      <c r="L443" s="2">
        <v>50</v>
      </c>
      <c r="M443" s="2">
        <v>1.0033444816053501</v>
      </c>
      <c r="N443" s="1">
        <v>1.82185055785645E-6</v>
      </c>
      <c r="O443" s="2">
        <v>5.7394872500633998</v>
      </c>
      <c r="P443" s="2">
        <v>49.8333333333333</v>
      </c>
      <c r="Q443" s="3">
        <v>131.32542380111599</v>
      </c>
      <c r="R443" s="2">
        <v>48.39</v>
      </c>
      <c r="S443" s="2">
        <v>25.02</v>
      </c>
      <c r="T443" s="2">
        <v>1.63</v>
      </c>
      <c r="V443" s="4">
        <f t="shared" si="27"/>
        <v>213</v>
      </c>
      <c r="W443">
        <f t="shared" si="24"/>
        <v>4</v>
      </c>
      <c r="X443">
        <f t="shared" si="25"/>
        <v>1</v>
      </c>
      <c r="Y443">
        <v>442</v>
      </c>
      <c r="Z443" s="4">
        <f t="shared" si="26"/>
        <v>429</v>
      </c>
    </row>
    <row r="444" spans="1:26" x14ac:dyDescent="0.2">
      <c r="A444" s="11">
        <v>92</v>
      </c>
      <c r="B444" s="4">
        <v>997</v>
      </c>
      <c r="C444" s="4">
        <v>2</v>
      </c>
      <c r="D444" s="4">
        <v>2</v>
      </c>
      <c r="E444" s="4">
        <v>1</v>
      </c>
      <c r="F444" s="4">
        <v>2</v>
      </c>
      <c r="G444" t="s">
        <v>379</v>
      </c>
      <c r="H444" s="4">
        <v>4</v>
      </c>
      <c r="I444" s="4">
        <v>8</v>
      </c>
      <c r="J444" s="4">
        <v>36</v>
      </c>
      <c r="K444" s="2">
        <v>50</v>
      </c>
      <c r="L444" s="2">
        <v>11.1111111111111</v>
      </c>
      <c r="M444" s="2">
        <v>0.122661760196258</v>
      </c>
      <c r="N444" s="1">
        <v>1.6264850967140199E-6</v>
      </c>
      <c r="O444" s="2">
        <v>5.7887499117516397</v>
      </c>
      <c r="P444" s="2">
        <v>90.5833333333333</v>
      </c>
      <c r="Q444" s="3">
        <v>135.124044555263</v>
      </c>
      <c r="R444" s="2">
        <v>0.93</v>
      </c>
      <c r="S444" s="2">
        <v>25.02</v>
      </c>
      <c r="T444" s="2">
        <v>1.63</v>
      </c>
      <c r="V444" s="4">
        <f t="shared" si="27"/>
        <v>213</v>
      </c>
      <c r="W444">
        <f t="shared" si="24"/>
        <v>4</v>
      </c>
      <c r="X444">
        <f t="shared" si="25"/>
        <v>1</v>
      </c>
      <c r="Y444">
        <v>443</v>
      </c>
      <c r="Z444" s="4">
        <f t="shared" si="26"/>
        <v>430</v>
      </c>
    </row>
    <row r="445" spans="1:26" x14ac:dyDescent="0.2">
      <c r="A445" s="11">
        <v>93</v>
      </c>
      <c r="B445" s="4">
        <v>518</v>
      </c>
      <c r="C445" s="4">
        <v>2</v>
      </c>
      <c r="D445" s="4">
        <v>2</v>
      </c>
      <c r="E445" s="4">
        <v>1</v>
      </c>
      <c r="F445" s="4">
        <v>1</v>
      </c>
      <c r="G445" t="s">
        <v>8</v>
      </c>
      <c r="H445" s="4">
        <v>17</v>
      </c>
      <c r="I445" s="4">
        <v>223</v>
      </c>
      <c r="J445" s="4">
        <v>67</v>
      </c>
      <c r="K445" s="2">
        <v>7.6233183856502196</v>
      </c>
      <c r="L445" s="2">
        <v>25.373134328358201</v>
      </c>
      <c r="M445" s="2">
        <v>6.3777089783281697</v>
      </c>
      <c r="N445" s="1">
        <v>2.2813030098177301E-6</v>
      </c>
      <c r="O445" s="2">
        <v>5.6418170265374803</v>
      </c>
      <c r="P445" s="2">
        <v>3.9784089262425701</v>
      </c>
      <c r="Q445" s="3">
        <v>34.604776746065397</v>
      </c>
      <c r="R445" s="2">
        <v>36.049999999999997</v>
      </c>
      <c r="S445" s="2">
        <v>20.85</v>
      </c>
      <c r="T445" s="2">
        <v>1.36</v>
      </c>
      <c r="V445" s="4">
        <f t="shared" si="27"/>
        <v>214</v>
      </c>
      <c r="W445">
        <f t="shared" si="24"/>
        <v>4</v>
      </c>
      <c r="X445">
        <f t="shared" si="25"/>
        <v>1</v>
      </c>
      <c r="Y445">
        <v>444</v>
      </c>
      <c r="Z445" s="4">
        <f t="shared" si="26"/>
        <v>431</v>
      </c>
    </row>
    <row r="446" spans="1:26" x14ac:dyDescent="0.2">
      <c r="A446" s="11">
        <v>93</v>
      </c>
      <c r="B446" s="4">
        <v>518</v>
      </c>
      <c r="C446" s="4">
        <v>2</v>
      </c>
      <c r="D446" s="4">
        <v>2</v>
      </c>
      <c r="E446" s="4">
        <v>1</v>
      </c>
      <c r="F446" s="4">
        <v>2</v>
      </c>
      <c r="G446" t="s">
        <v>380</v>
      </c>
      <c r="H446" s="4">
        <v>17</v>
      </c>
      <c r="I446" s="4">
        <v>67</v>
      </c>
      <c r="J446" s="4">
        <v>220</v>
      </c>
      <c r="K446" s="2">
        <v>25.373134328358201</v>
      </c>
      <c r="L446" s="2">
        <v>7.7272727272727204</v>
      </c>
      <c r="M446" s="2">
        <v>1.62495937601559</v>
      </c>
      <c r="N446" s="1">
        <v>1.8802925637273199E-6</v>
      </c>
      <c r="O446" s="2">
        <v>5.7257745715198096</v>
      </c>
      <c r="P446" s="2">
        <v>4.7553636363636302</v>
      </c>
      <c r="Q446" s="3">
        <v>35.400371134140102</v>
      </c>
      <c r="R446" s="2">
        <v>15.4</v>
      </c>
      <c r="S446" s="2">
        <v>20.85</v>
      </c>
      <c r="T446" s="2">
        <v>1.36</v>
      </c>
      <c r="V446" s="4">
        <f t="shared" si="27"/>
        <v>214</v>
      </c>
      <c r="W446">
        <f t="shared" si="24"/>
        <v>4</v>
      </c>
      <c r="X446">
        <f t="shared" si="25"/>
        <v>1</v>
      </c>
      <c r="Y446">
        <v>445</v>
      </c>
      <c r="Z446" s="4">
        <f t="shared" si="26"/>
        <v>432</v>
      </c>
    </row>
    <row r="447" spans="1:26" x14ac:dyDescent="0.2">
      <c r="A447" s="11">
        <v>93</v>
      </c>
      <c r="B447" s="4">
        <v>2167</v>
      </c>
      <c r="C447" s="4">
        <v>2</v>
      </c>
      <c r="D447" s="4">
        <v>2</v>
      </c>
      <c r="E447" s="4">
        <v>1</v>
      </c>
      <c r="F447" s="4">
        <v>1</v>
      </c>
      <c r="G447" t="s">
        <v>359</v>
      </c>
      <c r="H447" s="4">
        <v>6</v>
      </c>
      <c r="I447" s="4">
        <v>30</v>
      </c>
      <c r="J447" s="4">
        <v>45</v>
      </c>
      <c r="K447" s="2">
        <v>20</v>
      </c>
      <c r="L447" s="2">
        <v>13.3333333333333</v>
      </c>
      <c r="M447" s="2">
        <v>0.73800738007379996</v>
      </c>
      <c r="N447" s="1">
        <v>4.2625465291249297E-6</v>
      </c>
      <c r="O447" s="2">
        <v>5.3703308672998702</v>
      </c>
      <c r="P447" s="2">
        <v>18.066666666666599</v>
      </c>
      <c r="Q447" s="3">
        <v>64.751610263336303</v>
      </c>
      <c r="R447" s="2">
        <v>0.79</v>
      </c>
      <c r="S447" s="2">
        <v>23.9</v>
      </c>
      <c r="T447" s="2">
        <v>1.56</v>
      </c>
      <c r="V447" s="4">
        <f t="shared" si="27"/>
        <v>215</v>
      </c>
      <c r="W447">
        <f t="shared" si="24"/>
        <v>4</v>
      </c>
      <c r="X447">
        <f t="shared" si="25"/>
        <v>1</v>
      </c>
      <c r="Y447">
        <v>446</v>
      </c>
      <c r="Z447" s="4">
        <f t="shared" si="26"/>
        <v>433</v>
      </c>
    </row>
    <row r="448" spans="1:26" x14ac:dyDescent="0.2">
      <c r="A448" s="11">
        <v>93</v>
      </c>
      <c r="B448" s="4">
        <v>2167</v>
      </c>
      <c r="C448" s="4">
        <v>2</v>
      </c>
      <c r="D448" s="4">
        <v>2</v>
      </c>
      <c r="E448" s="4">
        <v>1</v>
      </c>
      <c r="F448" s="4">
        <v>2</v>
      </c>
      <c r="G448" t="s">
        <v>103</v>
      </c>
      <c r="H448" s="4">
        <v>6</v>
      </c>
      <c r="I448" s="4">
        <v>46</v>
      </c>
      <c r="J448" s="4">
        <v>30</v>
      </c>
      <c r="K448" s="2">
        <v>13.043478260869501</v>
      </c>
      <c r="L448" s="2">
        <v>20</v>
      </c>
      <c r="M448" s="2">
        <v>1.22436486072849</v>
      </c>
      <c r="N448" s="1">
        <v>4.8711312240695596E-6</v>
      </c>
      <c r="O448" s="2">
        <v>5.3123701707522502</v>
      </c>
      <c r="P448" s="2">
        <v>16.335000000000001</v>
      </c>
      <c r="Q448" s="3">
        <v>63.1371329524302</v>
      </c>
      <c r="R448" s="2">
        <v>1.53</v>
      </c>
      <c r="S448" s="2">
        <v>23.9</v>
      </c>
      <c r="T448" s="2">
        <v>1.56</v>
      </c>
      <c r="V448" s="4">
        <f t="shared" si="27"/>
        <v>215</v>
      </c>
      <c r="W448">
        <f t="shared" si="24"/>
        <v>4</v>
      </c>
      <c r="X448">
        <f t="shared" si="25"/>
        <v>1</v>
      </c>
      <c r="Y448">
        <v>447</v>
      </c>
      <c r="Z448" s="4">
        <f t="shared" si="26"/>
        <v>434</v>
      </c>
    </row>
    <row r="449" spans="1:26" x14ac:dyDescent="0.2">
      <c r="A449" s="11">
        <v>93</v>
      </c>
      <c r="B449" s="4">
        <v>2191</v>
      </c>
      <c r="C449" s="4">
        <v>2</v>
      </c>
      <c r="D449" s="4">
        <v>2</v>
      </c>
      <c r="E449" s="4">
        <v>1</v>
      </c>
      <c r="F449" s="4">
        <v>1</v>
      </c>
      <c r="G449" t="s">
        <v>381</v>
      </c>
      <c r="H449" s="4">
        <v>4</v>
      </c>
      <c r="I449" s="4">
        <v>47</v>
      </c>
      <c r="J449" s="4">
        <v>8</v>
      </c>
      <c r="K449" s="2">
        <v>8.5106382978723403</v>
      </c>
      <c r="L449" s="2">
        <v>50</v>
      </c>
      <c r="M449" s="2">
        <v>1.3073882639100001</v>
      </c>
      <c r="N449" s="1">
        <v>4.8722125108209896E-6</v>
      </c>
      <c r="O449" s="2">
        <v>5.3122737773817201</v>
      </c>
      <c r="P449" s="2">
        <v>38.244186046511601</v>
      </c>
      <c r="Q449" s="3">
        <v>102.231473663949</v>
      </c>
      <c r="R449" s="2">
        <v>9.31</v>
      </c>
      <c r="S449" s="2">
        <v>24.06</v>
      </c>
      <c r="T449" s="2">
        <v>1.57</v>
      </c>
      <c r="V449" s="4">
        <f t="shared" si="27"/>
        <v>216</v>
      </c>
      <c r="W449">
        <f t="shared" si="24"/>
        <v>4</v>
      </c>
      <c r="X449">
        <f t="shared" si="25"/>
        <v>1</v>
      </c>
      <c r="Y449">
        <v>448</v>
      </c>
      <c r="Z449" s="4">
        <f t="shared" si="26"/>
        <v>435</v>
      </c>
    </row>
    <row r="450" spans="1:26" x14ac:dyDescent="0.2">
      <c r="A450" s="11">
        <v>93</v>
      </c>
      <c r="B450" s="4">
        <v>2191</v>
      </c>
      <c r="C450" s="4">
        <v>2</v>
      </c>
      <c r="D450" s="4">
        <v>2</v>
      </c>
      <c r="E450" s="4">
        <v>1</v>
      </c>
      <c r="F450" s="4">
        <v>2</v>
      </c>
      <c r="G450" t="s">
        <v>382</v>
      </c>
      <c r="H450" s="4">
        <v>4</v>
      </c>
      <c r="I450" s="4">
        <v>8</v>
      </c>
      <c r="J450" s="4">
        <v>45</v>
      </c>
      <c r="K450" s="2">
        <v>50</v>
      </c>
      <c r="L450" s="2">
        <v>8.8888888888888893</v>
      </c>
      <c r="M450" s="2">
        <v>0.1230012300123</v>
      </c>
      <c r="N450" s="1">
        <v>4.0779345445181397E-6</v>
      </c>
      <c r="O450" s="2">
        <v>5.3895597494217098</v>
      </c>
      <c r="P450" s="2">
        <v>72.266666666666595</v>
      </c>
      <c r="Q450" s="3">
        <v>107.01552749878201</v>
      </c>
      <c r="R450" s="2">
        <v>0.23</v>
      </c>
      <c r="S450" s="2">
        <v>24.06</v>
      </c>
      <c r="T450" s="2">
        <v>1.57</v>
      </c>
      <c r="V450" s="4">
        <f t="shared" si="27"/>
        <v>216</v>
      </c>
      <c r="W450">
        <f t="shared" si="24"/>
        <v>4</v>
      </c>
      <c r="X450">
        <f t="shared" si="25"/>
        <v>1</v>
      </c>
      <c r="Y450">
        <v>449</v>
      </c>
      <c r="Z450" s="4">
        <f t="shared" si="26"/>
        <v>436</v>
      </c>
    </row>
    <row r="451" spans="1:26" x14ac:dyDescent="0.2">
      <c r="A451" s="11">
        <v>95</v>
      </c>
      <c r="B451" s="4">
        <v>1076</v>
      </c>
      <c r="C451" s="4">
        <v>2</v>
      </c>
      <c r="D451" s="4">
        <v>2</v>
      </c>
      <c r="E451" s="4">
        <v>1</v>
      </c>
      <c r="F451" s="4">
        <v>1</v>
      </c>
      <c r="G451" t="s">
        <v>297</v>
      </c>
      <c r="H451" s="4">
        <v>7</v>
      </c>
      <c r="I451" s="4">
        <v>20</v>
      </c>
      <c r="J451" s="4">
        <v>114</v>
      </c>
      <c r="K451" s="2">
        <v>35</v>
      </c>
      <c r="L451" s="2">
        <v>6.1403508771929802</v>
      </c>
      <c r="M451" s="2">
        <v>0.40841972981463998</v>
      </c>
      <c r="N451" s="1">
        <v>5.2523665960613E-6</v>
      </c>
      <c r="O451" s="2">
        <v>5.2796449693513603</v>
      </c>
      <c r="P451" s="2">
        <v>15.0344129554655</v>
      </c>
      <c r="Q451" s="3">
        <v>50.843010156625098</v>
      </c>
      <c r="R451" s="2">
        <v>0.41</v>
      </c>
      <c r="S451" s="2">
        <v>19.989999999999998</v>
      </c>
      <c r="T451" s="2">
        <v>1.3</v>
      </c>
      <c r="V451" s="4">
        <f t="shared" si="27"/>
        <v>217</v>
      </c>
      <c r="W451">
        <f t="shared" ref="W451:W479" si="28">IF(AND(B451&lt;&gt;B450,D451&gt;2),W450+1,W450)</f>
        <v>4</v>
      </c>
      <c r="X451">
        <f t="shared" ref="X451:X479" si="29">IF(AND(B451&lt;&gt;B450,D451&gt;3),X450+1,X450)</f>
        <v>1</v>
      </c>
      <c r="Y451">
        <v>450</v>
      </c>
      <c r="Z451" s="4">
        <f t="shared" ref="Z451:Z479" si="30">IF(F451&lt;&gt;F450,Z450+1,Z450)</f>
        <v>437</v>
      </c>
    </row>
    <row r="452" spans="1:26" x14ac:dyDescent="0.2">
      <c r="A452" s="11">
        <v>95</v>
      </c>
      <c r="B452" s="4">
        <v>1076</v>
      </c>
      <c r="C452" s="4">
        <v>2</v>
      </c>
      <c r="D452" s="4">
        <v>2</v>
      </c>
      <c r="E452" s="4">
        <v>1</v>
      </c>
      <c r="F452" s="4">
        <v>2</v>
      </c>
      <c r="G452" t="s">
        <v>119</v>
      </c>
      <c r="H452" s="4">
        <v>7</v>
      </c>
      <c r="I452" s="4">
        <v>115</v>
      </c>
      <c r="J452" s="4">
        <v>20</v>
      </c>
      <c r="K452" s="2">
        <v>6.0869565217391299</v>
      </c>
      <c r="L452" s="2">
        <v>35</v>
      </c>
      <c r="M452" s="2">
        <v>3.2956972841013101</v>
      </c>
      <c r="N452" s="1">
        <v>5.5730126585306897E-6</v>
      </c>
      <c r="O452" s="2">
        <v>5.2539099704869896</v>
      </c>
      <c r="P452" s="2">
        <v>10.6199074074074</v>
      </c>
      <c r="Q452" s="3">
        <v>50.311485030009997</v>
      </c>
      <c r="R452" s="2">
        <v>999</v>
      </c>
      <c r="S452" s="2">
        <v>19.989999999999998</v>
      </c>
      <c r="T452" s="2">
        <v>1.3</v>
      </c>
      <c r="V452" s="4">
        <f t="shared" ref="V452:V479" si="31">IF(F452=1,V451+1,V451)</f>
        <v>217</v>
      </c>
      <c r="W452">
        <f t="shared" si="28"/>
        <v>4</v>
      </c>
      <c r="X452">
        <f t="shared" si="29"/>
        <v>1</v>
      </c>
      <c r="Y452">
        <v>451</v>
      </c>
      <c r="Z452" s="4">
        <f t="shared" si="30"/>
        <v>438</v>
      </c>
    </row>
    <row r="453" spans="1:26" x14ac:dyDescent="0.2">
      <c r="A453" s="11">
        <v>95</v>
      </c>
      <c r="B453" s="4">
        <v>1140</v>
      </c>
      <c r="C453" s="4">
        <v>2</v>
      </c>
      <c r="D453" s="4">
        <v>2</v>
      </c>
      <c r="E453" s="4">
        <v>1</v>
      </c>
      <c r="F453" s="4">
        <v>1</v>
      </c>
      <c r="G453" t="s">
        <v>383</v>
      </c>
      <c r="H453" s="4">
        <v>4</v>
      </c>
      <c r="I453" s="4">
        <v>14</v>
      </c>
      <c r="J453" s="4">
        <v>28</v>
      </c>
      <c r="K453" s="2">
        <v>28.571428571428498</v>
      </c>
      <c r="L453" s="2">
        <v>14.285714285714199</v>
      </c>
      <c r="M453" s="2">
        <v>0.30590394616090499</v>
      </c>
      <c r="N453" s="1">
        <v>7.8671491967271005E-6</v>
      </c>
      <c r="O453" s="2">
        <v>5.1041826135653396</v>
      </c>
      <c r="P453" s="2">
        <v>46.699999999999903</v>
      </c>
      <c r="Q453" s="3">
        <v>97.387235729809106</v>
      </c>
      <c r="R453" s="2">
        <v>0.88</v>
      </c>
      <c r="S453" s="2">
        <v>21.86</v>
      </c>
      <c r="T453" s="2">
        <v>1.43</v>
      </c>
      <c r="V453" s="4">
        <f t="shared" si="31"/>
        <v>218</v>
      </c>
      <c r="W453">
        <f t="shared" si="28"/>
        <v>4</v>
      </c>
      <c r="X453">
        <f t="shared" si="29"/>
        <v>1</v>
      </c>
      <c r="Y453">
        <v>452</v>
      </c>
      <c r="Z453" s="4">
        <f t="shared" si="30"/>
        <v>439</v>
      </c>
    </row>
    <row r="454" spans="1:26" x14ac:dyDescent="0.2">
      <c r="A454" s="11">
        <v>95</v>
      </c>
      <c r="B454" s="4">
        <v>1140</v>
      </c>
      <c r="C454" s="4">
        <v>2</v>
      </c>
      <c r="D454" s="4">
        <v>2</v>
      </c>
      <c r="E454" s="4">
        <v>1</v>
      </c>
      <c r="F454" s="4">
        <v>2</v>
      </c>
      <c r="G454" t="s">
        <v>384</v>
      </c>
      <c r="H454" s="4">
        <v>4</v>
      </c>
      <c r="I454" s="4">
        <v>29</v>
      </c>
      <c r="J454" s="4">
        <v>13</v>
      </c>
      <c r="K454" s="2">
        <v>13.793103448275801</v>
      </c>
      <c r="L454" s="2">
        <v>30.769230769230699</v>
      </c>
      <c r="M454" s="2">
        <v>0.76126674786845305</v>
      </c>
      <c r="N454" s="1">
        <v>6.5423350704454601E-6</v>
      </c>
      <c r="O454" s="2">
        <v>5.1842672169339004</v>
      </c>
      <c r="P454" s="2">
        <v>40.4184615384615</v>
      </c>
      <c r="Q454" s="3">
        <v>101.53489976595</v>
      </c>
      <c r="R454" s="2">
        <v>25.13</v>
      </c>
      <c r="S454" s="2">
        <v>21.86</v>
      </c>
      <c r="T454" s="2">
        <v>1.43</v>
      </c>
      <c r="V454" s="4">
        <f t="shared" si="31"/>
        <v>218</v>
      </c>
      <c r="W454">
        <f t="shared" si="28"/>
        <v>4</v>
      </c>
      <c r="X454">
        <f t="shared" si="29"/>
        <v>1</v>
      </c>
      <c r="Y454">
        <v>453</v>
      </c>
      <c r="Z454" s="4">
        <f t="shared" si="30"/>
        <v>440</v>
      </c>
    </row>
    <row r="455" spans="1:26" x14ac:dyDescent="0.2">
      <c r="A455" s="11">
        <v>96</v>
      </c>
      <c r="B455" s="4">
        <v>408</v>
      </c>
      <c r="C455" s="4">
        <v>2</v>
      </c>
      <c r="D455" s="4">
        <v>2</v>
      </c>
      <c r="E455" s="4">
        <v>1</v>
      </c>
      <c r="F455" s="4">
        <v>1</v>
      </c>
      <c r="G455" t="s">
        <v>33</v>
      </c>
      <c r="H455" s="4">
        <v>6</v>
      </c>
      <c r="I455" s="4">
        <v>373</v>
      </c>
      <c r="J455" s="4">
        <v>6</v>
      </c>
      <c r="K455" s="2">
        <v>1.6085790884718401</v>
      </c>
      <c r="L455" s="2">
        <v>100</v>
      </c>
      <c r="M455" s="2">
        <v>11.1516256457003</v>
      </c>
      <c r="N455" s="1">
        <v>4.0457110781823499E-6</v>
      </c>
      <c r="O455" s="2">
        <v>5.39300513531495</v>
      </c>
      <c r="P455" s="2">
        <v>8.9673024523160692</v>
      </c>
      <c r="Q455" s="3">
        <v>38.681383699933797</v>
      </c>
      <c r="R455" s="2">
        <v>18.059999999999999</v>
      </c>
      <c r="S455" s="2">
        <v>19.920000000000002</v>
      </c>
      <c r="T455" s="2">
        <v>1.3</v>
      </c>
      <c r="V455" s="4">
        <f t="shared" si="31"/>
        <v>219</v>
      </c>
      <c r="W455">
        <f t="shared" si="28"/>
        <v>4</v>
      </c>
      <c r="X455">
        <f t="shared" si="29"/>
        <v>1</v>
      </c>
      <c r="Y455">
        <v>454</v>
      </c>
      <c r="Z455" s="4">
        <f t="shared" si="30"/>
        <v>441</v>
      </c>
    </row>
    <row r="456" spans="1:26" x14ac:dyDescent="0.2">
      <c r="A456" s="11">
        <v>96</v>
      </c>
      <c r="B456" s="4">
        <v>408</v>
      </c>
      <c r="C456" s="4">
        <v>2</v>
      </c>
      <c r="D456" s="4">
        <v>2</v>
      </c>
      <c r="E456" s="4">
        <v>1</v>
      </c>
      <c r="F456" s="4">
        <v>2</v>
      </c>
      <c r="G456" t="s">
        <v>385</v>
      </c>
      <c r="H456" s="4">
        <v>6</v>
      </c>
      <c r="I456" s="4">
        <v>6</v>
      </c>
      <c r="J456" s="4">
        <v>369</v>
      </c>
      <c r="K456" s="2">
        <v>100</v>
      </c>
      <c r="L456" s="2">
        <v>1.6260162601626</v>
      </c>
      <c r="M456" s="2">
        <v>0</v>
      </c>
      <c r="N456" s="1">
        <v>3.7906078448449999E-6</v>
      </c>
      <c r="O456" s="2">
        <v>5.4212911429355399</v>
      </c>
      <c r="P456" s="2" t="s">
        <v>386</v>
      </c>
      <c r="Q456" s="3">
        <v>39.1652788048535</v>
      </c>
      <c r="R456" s="2">
        <v>0.26</v>
      </c>
      <c r="S456" s="2">
        <v>19.920000000000002</v>
      </c>
      <c r="T456" s="2">
        <v>1.3</v>
      </c>
      <c r="V456" s="4">
        <f t="shared" si="31"/>
        <v>219</v>
      </c>
      <c r="W456">
        <f t="shared" si="28"/>
        <v>4</v>
      </c>
      <c r="X456">
        <f t="shared" si="29"/>
        <v>1</v>
      </c>
      <c r="Y456">
        <v>455</v>
      </c>
      <c r="Z456" s="4">
        <f t="shared" si="30"/>
        <v>442</v>
      </c>
    </row>
    <row r="457" spans="1:26" x14ac:dyDescent="0.2">
      <c r="A457" s="11">
        <v>96</v>
      </c>
      <c r="B457" s="4">
        <v>736</v>
      </c>
      <c r="C457" s="4">
        <v>2</v>
      </c>
      <c r="D457" s="4">
        <v>2</v>
      </c>
      <c r="E457" s="4">
        <v>1</v>
      </c>
      <c r="F457" s="4">
        <v>1</v>
      </c>
      <c r="G457" t="s">
        <v>387</v>
      </c>
      <c r="H457" s="4">
        <v>5</v>
      </c>
      <c r="I457" s="4">
        <v>18</v>
      </c>
      <c r="J457" s="4">
        <v>45</v>
      </c>
      <c r="K457" s="2">
        <v>27.7777777777777</v>
      </c>
      <c r="L457" s="2">
        <v>11.1111111111111</v>
      </c>
      <c r="M457" s="2">
        <v>0.39975399753997498</v>
      </c>
      <c r="N457" s="1">
        <v>5.6669986972634001E-6</v>
      </c>
      <c r="O457" s="2">
        <v>5.2466468871946397</v>
      </c>
      <c r="P457" s="2">
        <v>27.7948717948717</v>
      </c>
      <c r="Q457" s="3">
        <v>75.100115820062598</v>
      </c>
      <c r="R457" s="2">
        <v>0.97</v>
      </c>
      <c r="S457" s="2">
        <v>24.47</v>
      </c>
      <c r="T457" s="2">
        <v>1.59</v>
      </c>
      <c r="V457" s="4">
        <f t="shared" si="31"/>
        <v>220</v>
      </c>
      <c r="W457">
        <f t="shared" si="28"/>
        <v>4</v>
      </c>
      <c r="X457">
        <f t="shared" si="29"/>
        <v>1</v>
      </c>
      <c r="Y457">
        <v>456</v>
      </c>
      <c r="Z457" s="4">
        <f t="shared" si="30"/>
        <v>443</v>
      </c>
    </row>
    <row r="458" spans="1:26" x14ac:dyDescent="0.2">
      <c r="A458" s="11">
        <v>96</v>
      </c>
      <c r="B458" s="4">
        <v>736</v>
      </c>
      <c r="C458" s="4">
        <v>2</v>
      </c>
      <c r="D458" s="4">
        <v>2</v>
      </c>
      <c r="E458" s="4">
        <v>1</v>
      </c>
      <c r="F458" s="4">
        <v>2</v>
      </c>
      <c r="G458" t="s">
        <v>388</v>
      </c>
      <c r="H458" s="4">
        <v>5</v>
      </c>
      <c r="I458" s="4">
        <v>47</v>
      </c>
      <c r="J458" s="4">
        <v>18</v>
      </c>
      <c r="K458" s="2">
        <v>10.6382978723404</v>
      </c>
      <c r="L458" s="2">
        <v>27.7777777777777</v>
      </c>
      <c r="M458" s="2">
        <v>1.28087831655992</v>
      </c>
      <c r="N458" s="1">
        <v>7.0679495294370098E-6</v>
      </c>
      <c r="O458" s="2">
        <v>5.1507065603488096</v>
      </c>
      <c r="P458" s="2">
        <v>21.686507936507901</v>
      </c>
      <c r="Q458" s="3">
        <v>71.579766623042303</v>
      </c>
      <c r="R458" s="2">
        <v>12.11</v>
      </c>
      <c r="S458" s="2">
        <v>24.47</v>
      </c>
      <c r="T458" s="2">
        <v>1.59</v>
      </c>
      <c r="V458" s="4">
        <f t="shared" si="31"/>
        <v>220</v>
      </c>
      <c r="W458">
        <f t="shared" si="28"/>
        <v>4</v>
      </c>
      <c r="X458">
        <f t="shared" si="29"/>
        <v>1</v>
      </c>
      <c r="Y458">
        <v>457</v>
      </c>
      <c r="Z458" s="4">
        <f t="shared" si="30"/>
        <v>444</v>
      </c>
    </row>
    <row r="459" spans="1:26" x14ac:dyDescent="0.2">
      <c r="A459" s="11">
        <v>97</v>
      </c>
      <c r="B459" s="4">
        <v>408</v>
      </c>
      <c r="C459" s="4">
        <v>2</v>
      </c>
      <c r="D459" s="4">
        <v>2</v>
      </c>
      <c r="E459" s="4">
        <v>1</v>
      </c>
      <c r="F459" s="4">
        <v>1</v>
      </c>
      <c r="G459" t="s">
        <v>33</v>
      </c>
      <c r="H459" s="4">
        <v>12</v>
      </c>
      <c r="I459" s="4">
        <v>373</v>
      </c>
      <c r="J459" s="4">
        <v>21</v>
      </c>
      <c r="K459" s="2">
        <v>3.2171581769436899</v>
      </c>
      <c r="L459" s="2">
        <v>57.142857142857103</v>
      </c>
      <c r="M459" s="2">
        <v>11.019536019536</v>
      </c>
      <c r="N459" s="1">
        <v>8.4346379631747199E-7</v>
      </c>
      <c r="O459" s="2">
        <v>6.07393355373517</v>
      </c>
      <c r="P459" s="2">
        <v>5.18559556786703</v>
      </c>
      <c r="Q459" s="3">
        <v>39.764672499886402</v>
      </c>
      <c r="R459" s="2">
        <v>18.059999999999999</v>
      </c>
      <c r="S459" s="2">
        <v>22.21</v>
      </c>
      <c r="T459" s="2">
        <v>1.45</v>
      </c>
      <c r="V459" s="4">
        <f t="shared" si="31"/>
        <v>221</v>
      </c>
      <c r="W459">
        <f t="shared" si="28"/>
        <v>4</v>
      </c>
      <c r="X459">
        <f t="shared" si="29"/>
        <v>1</v>
      </c>
      <c r="Y459">
        <v>458</v>
      </c>
      <c r="Z459" s="4">
        <f t="shared" si="30"/>
        <v>445</v>
      </c>
    </row>
    <row r="460" spans="1:26" x14ac:dyDescent="0.2">
      <c r="A460" s="11">
        <v>97</v>
      </c>
      <c r="B460" s="4">
        <v>408</v>
      </c>
      <c r="C460" s="4">
        <v>2</v>
      </c>
      <c r="D460" s="4">
        <v>2</v>
      </c>
      <c r="E460" s="4">
        <v>1</v>
      </c>
      <c r="F460" s="4">
        <v>2</v>
      </c>
      <c r="G460" t="s">
        <v>112</v>
      </c>
      <c r="H460" s="4">
        <v>12</v>
      </c>
      <c r="I460" s="4">
        <v>21</v>
      </c>
      <c r="J460" s="4">
        <v>365</v>
      </c>
      <c r="K460" s="2">
        <v>57.142857142857103</v>
      </c>
      <c r="L460" s="2">
        <v>3.2876712328767099</v>
      </c>
      <c r="M460" s="2">
        <v>0.30695770804911299</v>
      </c>
      <c r="N460" s="1">
        <v>6.6232689833401299E-7</v>
      </c>
      <c r="O460" s="2">
        <v>6.1789276070838302</v>
      </c>
      <c r="P460" s="2">
        <v>10.710502283105001</v>
      </c>
      <c r="Q460" s="3">
        <v>40.979253575422902</v>
      </c>
      <c r="R460" s="2">
        <v>0.32</v>
      </c>
      <c r="S460" s="2">
        <v>22.21</v>
      </c>
      <c r="T460" s="2">
        <v>1.45</v>
      </c>
      <c r="V460" s="4">
        <f t="shared" si="31"/>
        <v>221</v>
      </c>
      <c r="W460">
        <f t="shared" si="28"/>
        <v>4</v>
      </c>
      <c r="X460">
        <f t="shared" si="29"/>
        <v>1</v>
      </c>
      <c r="Y460">
        <v>459</v>
      </c>
      <c r="Z460" s="4">
        <f t="shared" si="30"/>
        <v>446</v>
      </c>
    </row>
    <row r="461" spans="1:26" x14ac:dyDescent="0.2">
      <c r="A461" s="11">
        <v>97</v>
      </c>
      <c r="B461" s="4">
        <v>840</v>
      </c>
      <c r="C461" s="4">
        <v>2</v>
      </c>
      <c r="D461" s="4">
        <v>2</v>
      </c>
      <c r="E461" s="4">
        <v>1</v>
      </c>
      <c r="F461" s="4">
        <v>1</v>
      </c>
      <c r="G461" t="s">
        <v>389</v>
      </c>
      <c r="H461" s="4">
        <v>4</v>
      </c>
      <c r="I461" s="4">
        <v>19</v>
      </c>
      <c r="J461" s="4">
        <v>20</v>
      </c>
      <c r="K461" s="2">
        <v>21.052631578947299</v>
      </c>
      <c r="L461" s="2">
        <v>20</v>
      </c>
      <c r="M461" s="2">
        <v>0.45773573390296002</v>
      </c>
      <c r="N461" s="1">
        <v>7.20852860842811E-6</v>
      </c>
      <c r="O461" s="2">
        <v>5.1421533736236302</v>
      </c>
      <c r="P461" s="2">
        <v>43.6933333333333</v>
      </c>
      <c r="Q461" s="3">
        <v>100.586438908556</v>
      </c>
      <c r="R461" s="2">
        <v>1.61</v>
      </c>
      <c r="S461" s="2">
        <v>21.29</v>
      </c>
      <c r="T461" s="2">
        <v>1.39</v>
      </c>
      <c r="V461" s="4">
        <f t="shared" si="31"/>
        <v>222</v>
      </c>
      <c r="W461">
        <f t="shared" si="28"/>
        <v>4</v>
      </c>
      <c r="X461">
        <f t="shared" si="29"/>
        <v>1</v>
      </c>
      <c r="Y461">
        <v>460</v>
      </c>
      <c r="Z461" s="4">
        <f t="shared" si="30"/>
        <v>447</v>
      </c>
    </row>
    <row r="462" spans="1:26" x14ac:dyDescent="0.2">
      <c r="A462" s="11">
        <v>97</v>
      </c>
      <c r="B462" s="4">
        <v>840</v>
      </c>
      <c r="C462" s="4">
        <v>2</v>
      </c>
      <c r="D462" s="4">
        <v>2</v>
      </c>
      <c r="E462" s="4">
        <v>1</v>
      </c>
      <c r="F462" s="4">
        <v>2</v>
      </c>
      <c r="G462" t="s">
        <v>390</v>
      </c>
      <c r="H462" s="4">
        <v>4</v>
      </c>
      <c r="I462" s="4">
        <v>20</v>
      </c>
      <c r="J462" s="4">
        <v>19</v>
      </c>
      <c r="K462" s="2">
        <v>20</v>
      </c>
      <c r="L462" s="2">
        <v>21.052631578947299</v>
      </c>
      <c r="M462" s="2">
        <v>0.48810250152531998</v>
      </c>
      <c r="N462" s="1">
        <v>7.20852860842811E-6</v>
      </c>
      <c r="O462" s="2">
        <v>5.1421533736236302</v>
      </c>
      <c r="P462" s="2">
        <v>43.131578947368403</v>
      </c>
      <c r="Q462" s="3">
        <v>100.586438908556</v>
      </c>
      <c r="R462" s="2">
        <v>3.2</v>
      </c>
      <c r="S462" s="2">
        <v>21.29</v>
      </c>
      <c r="T462" s="2">
        <v>1.39</v>
      </c>
      <c r="V462" s="4">
        <f t="shared" si="31"/>
        <v>222</v>
      </c>
      <c r="W462">
        <f t="shared" si="28"/>
        <v>4</v>
      </c>
      <c r="X462">
        <f t="shared" si="29"/>
        <v>1</v>
      </c>
      <c r="Y462">
        <v>461</v>
      </c>
      <c r="Z462" s="4">
        <f t="shared" si="30"/>
        <v>448</v>
      </c>
    </row>
    <row r="463" spans="1:26" x14ac:dyDescent="0.2">
      <c r="A463" s="11">
        <v>97</v>
      </c>
      <c r="B463" s="4">
        <v>1447</v>
      </c>
      <c r="C463" s="4">
        <v>2</v>
      </c>
      <c r="D463" s="4">
        <v>2</v>
      </c>
      <c r="E463" s="4">
        <v>1</v>
      </c>
      <c r="F463" s="4">
        <v>1</v>
      </c>
      <c r="G463" t="s">
        <v>391</v>
      </c>
      <c r="H463" s="4">
        <v>5</v>
      </c>
      <c r="I463" s="4">
        <v>38</v>
      </c>
      <c r="J463" s="4">
        <v>17</v>
      </c>
      <c r="K463" s="2">
        <v>13.157894736842101</v>
      </c>
      <c r="L463" s="2">
        <v>29.411764705882302</v>
      </c>
      <c r="M463" s="2">
        <v>1.0060975609756</v>
      </c>
      <c r="N463" s="1">
        <v>1.7354662135599001E-6</v>
      </c>
      <c r="O463" s="2">
        <v>5.7605838368512998</v>
      </c>
      <c r="P463" s="2">
        <v>29.2335115864527</v>
      </c>
      <c r="Q463" s="3">
        <v>96.144317536459695</v>
      </c>
      <c r="R463" s="2">
        <v>9</v>
      </c>
      <c r="S463" s="2">
        <v>20.239999999999998</v>
      </c>
      <c r="T463" s="2">
        <v>1.32</v>
      </c>
      <c r="V463" s="4">
        <f t="shared" si="31"/>
        <v>223</v>
      </c>
      <c r="W463">
        <f t="shared" si="28"/>
        <v>4</v>
      </c>
      <c r="X463">
        <f t="shared" si="29"/>
        <v>1</v>
      </c>
      <c r="Y463">
        <v>462</v>
      </c>
      <c r="Z463" s="4">
        <f t="shared" si="30"/>
        <v>449</v>
      </c>
    </row>
    <row r="464" spans="1:26" x14ac:dyDescent="0.2">
      <c r="A464" s="11">
        <v>97</v>
      </c>
      <c r="B464" s="4">
        <v>1447</v>
      </c>
      <c r="C464" s="4">
        <v>2</v>
      </c>
      <c r="D464" s="4">
        <v>2</v>
      </c>
      <c r="E464" s="4">
        <v>1</v>
      </c>
      <c r="F464" s="4">
        <v>2</v>
      </c>
      <c r="G464" t="s">
        <v>182</v>
      </c>
      <c r="H464" s="4">
        <v>5</v>
      </c>
      <c r="I464" s="4">
        <v>17</v>
      </c>
      <c r="J464" s="4">
        <v>37</v>
      </c>
      <c r="K464" s="2">
        <v>29.411764705882302</v>
      </c>
      <c r="L464" s="2">
        <v>13.5135135135135</v>
      </c>
      <c r="M464" s="2">
        <v>0.36809815950920199</v>
      </c>
      <c r="N464" s="1">
        <v>1.51173291199401E-6</v>
      </c>
      <c r="O464" s="2">
        <v>5.8205249317801604</v>
      </c>
      <c r="P464" s="2">
        <v>36.7117117117117</v>
      </c>
      <c r="Q464" s="3">
        <v>98.949177226880593</v>
      </c>
      <c r="R464" s="2">
        <v>2.41</v>
      </c>
      <c r="S464" s="2">
        <v>20.239999999999998</v>
      </c>
      <c r="T464" s="2">
        <v>1.32</v>
      </c>
      <c r="V464" s="4">
        <f t="shared" si="31"/>
        <v>223</v>
      </c>
      <c r="W464">
        <f t="shared" si="28"/>
        <v>4</v>
      </c>
      <c r="X464">
        <f t="shared" si="29"/>
        <v>1</v>
      </c>
      <c r="Y464">
        <v>463</v>
      </c>
      <c r="Z464" s="4">
        <f t="shared" si="30"/>
        <v>450</v>
      </c>
    </row>
    <row r="465" spans="1:26" x14ac:dyDescent="0.2">
      <c r="A465" s="11">
        <v>97</v>
      </c>
      <c r="B465" s="4">
        <v>1480</v>
      </c>
      <c r="C465" s="4">
        <v>2</v>
      </c>
      <c r="D465" s="4">
        <v>2</v>
      </c>
      <c r="E465" s="4">
        <v>1</v>
      </c>
      <c r="F465" s="4">
        <v>1</v>
      </c>
      <c r="G465" t="s">
        <v>392</v>
      </c>
      <c r="H465" s="4">
        <v>5</v>
      </c>
      <c r="I465" s="4">
        <v>14</v>
      </c>
      <c r="J465" s="4">
        <v>52</v>
      </c>
      <c r="K465" s="2">
        <v>35.714285714285701</v>
      </c>
      <c r="L465" s="2">
        <v>9.6153846153846096</v>
      </c>
      <c r="M465" s="2">
        <v>0.27734976887519203</v>
      </c>
      <c r="N465" s="1">
        <v>2.8869033610125802E-6</v>
      </c>
      <c r="O465" s="2">
        <v>5.5395677538683001</v>
      </c>
      <c r="P465" s="2">
        <v>34.6688034188034</v>
      </c>
      <c r="Q465" s="3">
        <v>84.618177826789903</v>
      </c>
      <c r="R465" s="2">
        <v>2.44</v>
      </c>
      <c r="S465" s="2">
        <v>22.98</v>
      </c>
      <c r="T465" s="2">
        <v>1.5</v>
      </c>
      <c r="V465" s="4">
        <f t="shared" si="31"/>
        <v>224</v>
      </c>
      <c r="W465">
        <f t="shared" si="28"/>
        <v>4</v>
      </c>
      <c r="X465">
        <f t="shared" si="29"/>
        <v>1</v>
      </c>
      <c r="Y465">
        <v>464</v>
      </c>
      <c r="Z465" s="4">
        <f t="shared" si="30"/>
        <v>451</v>
      </c>
    </row>
    <row r="466" spans="1:26" x14ac:dyDescent="0.2">
      <c r="A466" s="11">
        <v>97</v>
      </c>
      <c r="B466" s="4">
        <v>1480</v>
      </c>
      <c r="C466" s="4">
        <v>2</v>
      </c>
      <c r="D466" s="4">
        <v>2</v>
      </c>
      <c r="E466" s="4">
        <v>1</v>
      </c>
      <c r="F466" s="4">
        <v>2</v>
      </c>
      <c r="G466" t="s">
        <v>374</v>
      </c>
      <c r="H466" s="4">
        <v>5</v>
      </c>
      <c r="I466" s="4">
        <v>52</v>
      </c>
      <c r="J466" s="4">
        <v>14</v>
      </c>
      <c r="K466" s="2">
        <v>9.6153846153846096</v>
      </c>
      <c r="L466" s="2">
        <v>35.714285714285701</v>
      </c>
      <c r="M466" s="2">
        <v>1.43161742308863</v>
      </c>
      <c r="N466" s="1">
        <v>2.8869033610125802E-6</v>
      </c>
      <c r="O466" s="2">
        <v>5.5395677538683001</v>
      </c>
      <c r="P466" s="2">
        <v>24.946808510638299</v>
      </c>
      <c r="Q466" s="3">
        <v>84.618177826789903</v>
      </c>
      <c r="R466" s="2">
        <v>9.7899999999999991</v>
      </c>
      <c r="S466" s="2">
        <v>22.98</v>
      </c>
      <c r="T466" s="2">
        <v>1.5</v>
      </c>
      <c r="V466" s="4">
        <f t="shared" si="31"/>
        <v>224</v>
      </c>
      <c r="W466">
        <f t="shared" si="28"/>
        <v>4</v>
      </c>
      <c r="X466">
        <f t="shared" si="29"/>
        <v>1</v>
      </c>
      <c r="Y466">
        <v>465</v>
      </c>
      <c r="Z466" s="4">
        <f t="shared" si="30"/>
        <v>452</v>
      </c>
    </row>
    <row r="467" spans="1:26" x14ac:dyDescent="0.2">
      <c r="A467" s="11">
        <v>98</v>
      </c>
      <c r="B467" s="4">
        <v>481</v>
      </c>
      <c r="C467" s="4">
        <v>2</v>
      </c>
      <c r="D467" s="4">
        <v>2</v>
      </c>
      <c r="E467" s="4">
        <v>1</v>
      </c>
      <c r="F467" s="4">
        <v>1</v>
      </c>
      <c r="G467" t="s">
        <v>393</v>
      </c>
      <c r="H467" s="4">
        <v>4</v>
      </c>
      <c r="I467" s="4">
        <v>58</v>
      </c>
      <c r="J467" s="4">
        <v>5</v>
      </c>
      <c r="K467" s="2">
        <v>6.8965517241379297</v>
      </c>
      <c r="L467" s="2">
        <v>80</v>
      </c>
      <c r="M467" s="2">
        <v>1.64034021871202</v>
      </c>
      <c r="N467" s="1">
        <v>8.5198766166113503E-7</v>
      </c>
      <c r="O467" s="2">
        <v>6.0695666945657898</v>
      </c>
      <c r="P467" s="2">
        <v>48.770370370370301</v>
      </c>
      <c r="Q467" s="3">
        <v>134.93251485971899</v>
      </c>
      <c r="R467" s="2">
        <v>5.4</v>
      </c>
      <c r="S467" s="2">
        <v>24.42</v>
      </c>
      <c r="T467" s="2">
        <v>1.59</v>
      </c>
      <c r="V467" s="4">
        <f t="shared" si="31"/>
        <v>225</v>
      </c>
      <c r="W467">
        <f t="shared" si="28"/>
        <v>4</v>
      </c>
      <c r="X467">
        <f t="shared" si="29"/>
        <v>1</v>
      </c>
      <c r="Y467">
        <v>466</v>
      </c>
      <c r="Z467" s="4">
        <f t="shared" si="30"/>
        <v>453</v>
      </c>
    </row>
    <row r="468" spans="1:26" x14ac:dyDescent="0.2">
      <c r="A468" s="11">
        <v>98</v>
      </c>
      <c r="B468" s="4">
        <v>481</v>
      </c>
      <c r="C468" s="4">
        <v>2</v>
      </c>
      <c r="D468" s="4">
        <v>2</v>
      </c>
      <c r="E468" s="4">
        <v>1</v>
      </c>
      <c r="F468" s="4">
        <v>2</v>
      </c>
      <c r="G468" t="s">
        <v>394</v>
      </c>
      <c r="H468" s="4">
        <v>4</v>
      </c>
      <c r="I468" s="4">
        <v>5</v>
      </c>
      <c r="J468" s="4">
        <v>56</v>
      </c>
      <c r="K468" s="2">
        <v>80</v>
      </c>
      <c r="L468" s="2">
        <v>7.1428571428571397</v>
      </c>
      <c r="M468" s="2">
        <v>3.08546744831842E-2</v>
      </c>
      <c r="N468" s="1">
        <v>7.3792776741063701E-7</v>
      </c>
      <c r="O468" s="2">
        <v>6.1319861473236603</v>
      </c>
      <c r="P468" s="2">
        <v>231.5</v>
      </c>
      <c r="Q468" s="3">
        <v>139.91370873972201</v>
      </c>
      <c r="R468" s="2">
        <v>0.9</v>
      </c>
      <c r="S468" s="2">
        <v>24.42</v>
      </c>
      <c r="T468" s="2">
        <v>1.59</v>
      </c>
      <c r="V468" s="4">
        <f t="shared" si="31"/>
        <v>225</v>
      </c>
      <c r="W468">
        <f t="shared" si="28"/>
        <v>4</v>
      </c>
      <c r="X468">
        <f t="shared" si="29"/>
        <v>1</v>
      </c>
      <c r="Y468">
        <v>467</v>
      </c>
      <c r="Z468" s="4">
        <f t="shared" si="30"/>
        <v>454</v>
      </c>
    </row>
    <row r="469" spans="1:26" x14ac:dyDescent="0.2">
      <c r="A469" s="11">
        <v>98</v>
      </c>
      <c r="B469" s="4">
        <v>737</v>
      </c>
      <c r="C469" s="4">
        <v>3</v>
      </c>
      <c r="D469" s="4">
        <v>3</v>
      </c>
      <c r="E469" s="4">
        <v>1</v>
      </c>
      <c r="F469" s="4">
        <v>1</v>
      </c>
      <c r="G469" t="s">
        <v>395</v>
      </c>
      <c r="H469" s="4">
        <v>18</v>
      </c>
      <c r="I469" s="4">
        <v>53</v>
      </c>
      <c r="J469" s="4">
        <v>213</v>
      </c>
      <c r="K469" s="2">
        <v>33.962264150943398</v>
      </c>
      <c r="L469" s="2">
        <v>8.4507042253521103</v>
      </c>
      <c r="M469" s="2">
        <v>1.1348897535667899</v>
      </c>
      <c r="N469" s="1">
        <v>3.2526119808670798E-9</v>
      </c>
      <c r="O469" s="2">
        <v>8.48776774262633</v>
      </c>
      <c r="P469" s="2">
        <v>7.4462776659959697</v>
      </c>
      <c r="Q469" s="3">
        <v>62.872875342297597</v>
      </c>
      <c r="R469" s="2">
        <v>2.11</v>
      </c>
      <c r="S469" s="2">
        <v>28.65</v>
      </c>
      <c r="T469" s="2">
        <v>1.87</v>
      </c>
      <c r="V469" s="4">
        <f t="shared" si="31"/>
        <v>226</v>
      </c>
      <c r="W469">
        <f t="shared" si="28"/>
        <v>5</v>
      </c>
      <c r="X469">
        <f t="shared" si="29"/>
        <v>1</v>
      </c>
      <c r="Y469">
        <v>468</v>
      </c>
      <c r="Z469" s="4">
        <f t="shared" si="30"/>
        <v>455</v>
      </c>
    </row>
    <row r="470" spans="1:26" x14ac:dyDescent="0.2">
      <c r="A470" s="11">
        <v>98</v>
      </c>
      <c r="B470" s="4">
        <v>737</v>
      </c>
      <c r="C470" s="4">
        <v>3</v>
      </c>
      <c r="D470" s="4">
        <v>3</v>
      </c>
      <c r="E470" s="4">
        <v>1</v>
      </c>
      <c r="F470" s="4">
        <v>2</v>
      </c>
      <c r="G470" t="s">
        <v>157</v>
      </c>
      <c r="H470" s="4">
        <v>21</v>
      </c>
      <c r="I470" s="4">
        <v>218</v>
      </c>
      <c r="J470" s="4">
        <v>59</v>
      </c>
      <c r="K470" s="2">
        <v>9.6330275229357802</v>
      </c>
      <c r="L470" s="2">
        <v>35.593220338983002</v>
      </c>
      <c r="M470" s="2">
        <v>6.0840024706609004</v>
      </c>
      <c r="N470" s="1">
        <v>7.25084502733659E-11</v>
      </c>
      <c r="O470" s="2">
        <v>10.1396113769705</v>
      </c>
      <c r="P470" s="2">
        <v>5.8502968252602496</v>
      </c>
      <c r="Q470" s="3">
        <v>77.005058753879794</v>
      </c>
      <c r="R470" s="2">
        <v>16.510000000000002</v>
      </c>
      <c r="S470" s="2">
        <v>28.65</v>
      </c>
      <c r="T470" s="2">
        <v>1.87</v>
      </c>
      <c r="V470" s="4">
        <f t="shared" si="31"/>
        <v>226</v>
      </c>
      <c r="W470">
        <f t="shared" si="28"/>
        <v>5</v>
      </c>
      <c r="X470">
        <f t="shared" si="29"/>
        <v>1</v>
      </c>
      <c r="Y470">
        <v>469</v>
      </c>
      <c r="Z470" s="4">
        <f t="shared" si="30"/>
        <v>456</v>
      </c>
    </row>
    <row r="471" spans="1:26" x14ac:dyDescent="0.2">
      <c r="A471" s="11">
        <v>98</v>
      </c>
      <c r="B471" s="4">
        <v>737</v>
      </c>
      <c r="C471" s="4">
        <v>3</v>
      </c>
      <c r="D471" s="4">
        <v>3</v>
      </c>
      <c r="E471" s="4">
        <v>1</v>
      </c>
      <c r="F471" s="4">
        <v>3</v>
      </c>
      <c r="G471" t="s">
        <v>396</v>
      </c>
      <c r="H471" s="4">
        <v>7</v>
      </c>
      <c r="I471" s="4">
        <v>10</v>
      </c>
      <c r="J471" s="4">
        <v>243</v>
      </c>
      <c r="K471" s="2">
        <v>70</v>
      </c>
      <c r="L471" s="2">
        <v>2.8806584362139902</v>
      </c>
      <c r="M471" s="2">
        <v>9.8231827111984193E-2</v>
      </c>
      <c r="N471" s="1">
        <v>2.1534446611597501E-6</v>
      </c>
      <c r="O471" s="2">
        <v>5.6668662841808102</v>
      </c>
      <c r="P471" s="2">
        <v>29.325102880658399</v>
      </c>
      <c r="Q471" s="3">
        <v>48.794850974662097</v>
      </c>
      <c r="R471" s="2">
        <v>18.14</v>
      </c>
      <c r="S471" s="2">
        <v>28.65</v>
      </c>
      <c r="T471" s="2">
        <v>1.87</v>
      </c>
      <c r="V471" s="4">
        <f t="shared" si="31"/>
        <v>226</v>
      </c>
      <c r="W471">
        <f t="shared" si="28"/>
        <v>5</v>
      </c>
      <c r="X471">
        <f t="shared" si="29"/>
        <v>1</v>
      </c>
      <c r="Y471">
        <v>470</v>
      </c>
      <c r="Z471" s="4">
        <f t="shared" si="30"/>
        <v>457</v>
      </c>
    </row>
    <row r="472" spans="1:26" x14ac:dyDescent="0.2">
      <c r="A472" s="11">
        <v>98</v>
      </c>
      <c r="B472" s="4">
        <v>2452</v>
      </c>
      <c r="C472" s="4">
        <v>2</v>
      </c>
      <c r="D472" s="4">
        <v>2</v>
      </c>
      <c r="E472" s="4">
        <v>1</v>
      </c>
      <c r="F472" s="4">
        <v>1</v>
      </c>
      <c r="G472" t="s">
        <v>397</v>
      </c>
      <c r="H472" s="4">
        <v>4</v>
      </c>
      <c r="I472" s="4">
        <v>16</v>
      </c>
      <c r="J472" s="4">
        <v>11</v>
      </c>
      <c r="K472" s="2">
        <v>25</v>
      </c>
      <c r="L472" s="2">
        <v>36.363636363636303</v>
      </c>
      <c r="M472" s="2">
        <v>0.365185636031649</v>
      </c>
      <c r="N472" s="1">
        <v>2.3947619619516999E-7</v>
      </c>
      <c r="O472" s="2">
        <v>6.6207376487415104</v>
      </c>
      <c r="P472" s="2">
        <v>99.575757575757507</v>
      </c>
      <c r="Q472" s="3">
        <v>224.36583313591601</v>
      </c>
      <c r="R472" s="2">
        <v>6.22</v>
      </c>
      <c r="S472" s="2">
        <v>32</v>
      </c>
      <c r="T472" s="2">
        <v>2.09</v>
      </c>
      <c r="V472" s="4">
        <f t="shared" si="31"/>
        <v>227</v>
      </c>
      <c r="W472">
        <f t="shared" si="28"/>
        <v>5</v>
      </c>
      <c r="X472">
        <f t="shared" si="29"/>
        <v>1</v>
      </c>
      <c r="Y472">
        <v>471</v>
      </c>
      <c r="Z472" s="4">
        <f t="shared" si="30"/>
        <v>458</v>
      </c>
    </row>
    <row r="473" spans="1:26" x14ac:dyDescent="0.2">
      <c r="A473" s="11">
        <v>98</v>
      </c>
      <c r="B473" s="4">
        <v>2452</v>
      </c>
      <c r="C473" s="4">
        <v>2</v>
      </c>
      <c r="D473" s="4">
        <v>2</v>
      </c>
      <c r="E473" s="4">
        <v>1</v>
      </c>
      <c r="F473" s="4">
        <v>2</v>
      </c>
      <c r="G473" t="s">
        <v>398</v>
      </c>
      <c r="H473" s="4">
        <v>4</v>
      </c>
      <c r="I473" s="4">
        <v>11</v>
      </c>
      <c r="J473" s="4">
        <v>16</v>
      </c>
      <c r="K473" s="2">
        <v>36.363636363636303</v>
      </c>
      <c r="L473" s="2">
        <v>25</v>
      </c>
      <c r="M473" s="2">
        <v>0.21334958854007899</v>
      </c>
      <c r="N473" s="1">
        <v>2.3947619619516999E-7</v>
      </c>
      <c r="O473" s="2">
        <v>6.6207376487415104</v>
      </c>
      <c r="P473" s="2">
        <v>117.178571428571</v>
      </c>
      <c r="Q473" s="3">
        <v>224.36583313591601</v>
      </c>
      <c r="R473" s="2">
        <v>3.75</v>
      </c>
      <c r="S473" s="2">
        <v>32</v>
      </c>
      <c r="T473" s="2">
        <v>2.09</v>
      </c>
      <c r="V473" s="4">
        <f t="shared" si="31"/>
        <v>227</v>
      </c>
      <c r="W473">
        <f t="shared" si="28"/>
        <v>5</v>
      </c>
      <c r="X473">
        <f t="shared" si="29"/>
        <v>1</v>
      </c>
      <c r="Y473">
        <v>472</v>
      </c>
      <c r="Z473" s="4">
        <f t="shared" si="30"/>
        <v>459</v>
      </c>
    </row>
    <row r="474" spans="1:26" x14ac:dyDescent="0.2">
      <c r="A474" s="11">
        <v>99</v>
      </c>
      <c r="B474" s="4">
        <v>12</v>
      </c>
      <c r="C474" s="4">
        <v>2</v>
      </c>
      <c r="D474" s="4">
        <v>2</v>
      </c>
      <c r="E474" s="4">
        <v>1</v>
      </c>
      <c r="F474" s="4">
        <v>1</v>
      </c>
      <c r="G474" t="s">
        <v>399</v>
      </c>
      <c r="H474" s="4">
        <v>6</v>
      </c>
      <c r="I474" s="4">
        <v>117</v>
      </c>
      <c r="J474" s="4">
        <v>12</v>
      </c>
      <c r="K474" s="2">
        <v>5.1282051282051198</v>
      </c>
      <c r="L474" s="2">
        <v>50</v>
      </c>
      <c r="M474" s="2">
        <v>3.3789954337899499</v>
      </c>
      <c r="N474" s="1">
        <v>2.729827133902E-6</v>
      </c>
      <c r="O474" s="2">
        <v>5.5638648537539197</v>
      </c>
      <c r="P474" s="2">
        <v>14.797297297297201</v>
      </c>
      <c r="Q474" s="3">
        <v>62.915154579483001</v>
      </c>
      <c r="R474" s="2">
        <v>4.3899999999999997</v>
      </c>
      <c r="S474" s="2">
        <v>20.85</v>
      </c>
      <c r="T474" s="2">
        <v>1.36</v>
      </c>
      <c r="V474" s="4">
        <f t="shared" si="31"/>
        <v>228</v>
      </c>
      <c r="W474">
        <f t="shared" si="28"/>
        <v>5</v>
      </c>
      <c r="X474">
        <f t="shared" si="29"/>
        <v>1</v>
      </c>
      <c r="Y474">
        <v>473</v>
      </c>
      <c r="Z474" s="4">
        <f t="shared" si="30"/>
        <v>460</v>
      </c>
    </row>
    <row r="475" spans="1:26" x14ac:dyDescent="0.2">
      <c r="A475" s="11">
        <v>99</v>
      </c>
      <c r="B475" s="4">
        <v>12</v>
      </c>
      <c r="C475" s="4">
        <v>2</v>
      </c>
      <c r="D475" s="4">
        <v>2</v>
      </c>
      <c r="E475" s="4">
        <v>1</v>
      </c>
      <c r="F475" s="4">
        <v>2</v>
      </c>
      <c r="G475" t="s">
        <v>400</v>
      </c>
      <c r="H475" s="4">
        <v>6</v>
      </c>
      <c r="I475" s="4">
        <v>12</v>
      </c>
      <c r="J475" s="4">
        <v>113</v>
      </c>
      <c r="K475" s="2">
        <v>50</v>
      </c>
      <c r="L475" s="2">
        <v>5.3097345132743303</v>
      </c>
      <c r="M475" s="2">
        <v>0.188442211055276</v>
      </c>
      <c r="N475" s="1">
        <v>2.2194305809485599E-6</v>
      </c>
      <c r="O475" s="2">
        <v>5.6537584342306202</v>
      </c>
      <c r="P475" s="2">
        <v>28.176991150442401</v>
      </c>
      <c r="Q475" s="3">
        <v>65.434278730050806</v>
      </c>
      <c r="R475" s="2">
        <v>1.84</v>
      </c>
      <c r="S475" s="2">
        <v>20.85</v>
      </c>
      <c r="T475" s="2">
        <v>1.36</v>
      </c>
      <c r="V475" s="4">
        <f t="shared" si="31"/>
        <v>228</v>
      </c>
      <c r="W475">
        <f t="shared" si="28"/>
        <v>5</v>
      </c>
      <c r="X475">
        <f t="shared" si="29"/>
        <v>1</v>
      </c>
      <c r="Y475">
        <v>474</v>
      </c>
      <c r="Z475" s="4">
        <f t="shared" si="30"/>
        <v>461</v>
      </c>
    </row>
    <row r="476" spans="1:26" x14ac:dyDescent="0.2">
      <c r="A476" s="11">
        <v>100</v>
      </c>
      <c r="B476" s="4">
        <v>735</v>
      </c>
      <c r="C476" s="4">
        <v>2</v>
      </c>
      <c r="D476" s="4">
        <v>2</v>
      </c>
      <c r="E476" s="4">
        <v>1</v>
      </c>
      <c r="F476" s="4">
        <v>1</v>
      </c>
      <c r="G476" t="s">
        <v>401</v>
      </c>
      <c r="H476" s="4">
        <v>4</v>
      </c>
      <c r="I476" s="4">
        <v>7</v>
      </c>
      <c r="J476" s="4">
        <v>43</v>
      </c>
      <c r="K476" s="2">
        <v>57.142857142857103</v>
      </c>
      <c r="L476" s="2">
        <v>9.3023255813953494</v>
      </c>
      <c r="M476" s="2">
        <v>9.2194222495390193E-2</v>
      </c>
      <c r="N476" s="1">
        <v>1.7083351934987801E-6</v>
      </c>
      <c r="O476" s="2">
        <v>5.7674269120987001</v>
      </c>
      <c r="P476" s="2">
        <v>100.899224806201</v>
      </c>
      <c r="Q476" s="3">
        <v>129.227726788967</v>
      </c>
      <c r="R476" s="2">
        <v>0.44</v>
      </c>
      <c r="S476" s="2">
        <v>23.67</v>
      </c>
      <c r="T476" s="2">
        <v>1.54</v>
      </c>
      <c r="V476" s="4">
        <f t="shared" si="31"/>
        <v>229</v>
      </c>
      <c r="W476">
        <f t="shared" si="28"/>
        <v>5</v>
      </c>
      <c r="X476">
        <f t="shared" si="29"/>
        <v>1</v>
      </c>
      <c r="Y476">
        <v>475</v>
      </c>
      <c r="Z476" s="4">
        <f t="shared" si="30"/>
        <v>462</v>
      </c>
    </row>
    <row r="477" spans="1:26" x14ac:dyDescent="0.2">
      <c r="A477" s="11">
        <v>100</v>
      </c>
      <c r="B477" s="4">
        <v>735</v>
      </c>
      <c r="C477" s="4">
        <v>2</v>
      </c>
      <c r="D477" s="4">
        <v>2</v>
      </c>
      <c r="E477" s="4">
        <v>1</v>
      </c>
      <c r="F477" s="4">
        <v>2</v>
      </c>
      <c r="G477" t="s">
        <v>296</v>
      </c>
      <c r="H477" s="4">
        <v>4</v>
      </c>
      <c r="I477" s="4">
        <v>45</v>
      </c>
      <c r="J477" s="4">
        <v>7</v>
      </c>
      <c r="K477" s="2">
        <v>8.8888888888888893</v>
      </c>
      <c r="L477" s="2">
        <v>57.142857142857103</v>
      </c>
      <c r="M477" s="2">
        <v>1.2462006079027299</v>
      </c>
      <c r="N477" s="1">
        <v>2.0594703328489501E-6</v>
      </c>
      <c r="O477" s="2">
        <v>5.6862444597759199</v>
      </c>
      <c r="P477" s="2">
        <v>45.8536585365853</v>
      </c>
      <c r="Q477" s="3">
        <v>123.25256526262</v>
      </c>
      <c r="R477" s="2">
        <v>3.43</v>
      </c>
      <c r="S477" s="2">
        <v>23.67</v>
      </c>
      <c r="T477" s="2">
        <v>1.54</v>
      </c>
      <c r="V477" s="4">
        <f t="shared" si="31"/>
        <v>229</v>
      </c>
      <c r="W477">
        <f t="shared" si="28"/>
        <v>5</v>
      </c>
      <c r="X477">
        <f t="shared" si="29"/>
        <v>1</v>
      </c>
      <c r="Y477">
        <v>476</v>
      </c>
      <c r="Z477" s="4">
        <f t="shared" si="30"/>
        <v>463</v>
      </c>
    </row>
    <row r="478" spans="1:26" x14ac:dyDescent="0.2">
      <c r="A478" s="11">
        <v>100</v>
      </c>
      <c r="B478" s="4">
        <v>1635</v>
      </c>
      <c r="C478" s="4">
        <v>2</v>
      </c>
      <c r="D478" s="4">
        <v>2</v>
      </c>
      <c r="E478" s="4">
        <v>1</v>
      </c>
      <c r="F478" s="4">
        <v>1</v>
      </c>
      <c r="G478" t="s">
        <v>335</v>
      </c>
      <c r="H478" s="4">
        <v>6</v>
      </c>
      <c r="I478" s="4">
        <v>64</v>
      </c>
      <c r="J478" s="4">
        <v>18</v>
      </c>
      <c r="K478" s="2">
        <v>9.375</v>
      </c>
      <c r="L478" s="2">
        <v>33.3333333333333</v>
      </c>
      <c r="M478" s="2">
        <v>1.7688319609637</v>
      </c>
      <c r="N478" s="1">
        <v>1.3058972184125001E-6</v>
      </c>
      <c r="O478" s="2">
        <v>5.8840910031779803</v>
      </c>
      <c r="P478" s="2">
        <v>18.844827586206801</v>
      </c>
      <c r="Q478" s="3">
        <v>77.852299671455995</v>
      </c>
      <c r="R478" s="2">
        <v>999</v>
      </c>
      <c r="S478" s="2">
        <v>22.92</v>
      </c>
      <c r="T478" s="2">
        <v>1.49</v>
      </c>
      <c r="V478" s="4">
        <f t="shared" si="31"/>
        <v>230</v>
      </c>
      <c r="W478">
        <f t="shared" si="28"/>
        <v>5</v>
      </c>
      <c r="X478">
        <f t="shared" si="29"/>
        <v>1</v>
      </c>
      <c r="Y478">
        <v>477</v>
      </c>
      <c r="Z478" s="4">
        <f t="shared" si="30"/>
        <v>464</v>
      </c>
    </row>
    <row r="479" spans="1:26" x14ac:dyDescent="0.2">
      <c r="A479" s="11">
        <v>100</v>
      </c>
      <c r="B479" s="4">
        <v>1635</v>
      </c>
      <c r="C479" s="4">
        <v>2</v>
      </c>
      <c r="D479" s="4">
        <v>2</v>
      </c>
      <c r="E479" s="4">
        <v>1</v>
      </c>
      <c r="F479" s="4">
        <v>2</v>
      </c>
      <c r="G479" t="s">
        <v>402</v>
      </c>
      <c r="H479" s="4">
        <v>6</v>
      </c>
      <c r="I479" s="4">
        <v>19</v>
      </c>
      <c r="J479" s="4">
        <v>63</v>
      </c>
      <c r="K479" s="2">
        <v>31.578947368421002</v>
      </c>
      <c r="L479" s="2">
        <v>9.5238095238095202</v>
      </c>
      <c r="M479" s="2">
        <v>0.40197897340754402</v>
      </c>
      <c r="N479" s="1">
        <v>1.70942843694649E-6</v>
      </c>
      <c r="O479" s="2">
        <v>5.7671490756745101</v>
      </c>
      <c r="P479" s="2">
        <v>23.692307692307601</v>
      </c>
      <c r="Q479" s="3">
        <v>74.528634604774098</v>
      </c>
      <c r="R479" s="2">
        <v>1.5</v>
      </c>
      <c r="S479" s="2">
        <v>22.92</v>
      </c>
      <c r="T479" s="2">
        <v>1.49</v>
      </c>
      <c r="V479" s="12">
        <f t="shared" si="31"/>
        <v>230</v>
      </c>
      <c r="W479" s="13">
        <f t="shared" si="28"/>
        <v>5</v>
      </c>
      <c r="X479" s="13">
        <f t="shared" si="29"/>
        <v>1</v>
      </c>
      <c r="Y479" s="13">
        <v>478</v>
      </c>
      <c r="Z479" s="12">
        <f t="shared" si="30"/>
        <v>465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2926B-EA40-FA43-9AEE-FDC1F4E7C10D}">
  <dimension ref="A1:I22"/>
  <sheetViews>
    <sheetView tabSelected="1" topLeftCell="A2" workbookViewId="0">
      <selection activeCell="M26" sqref="M26"/>
    </sheetView>
  </sheetViews>
  <sheetFormatPr baseColWidth="10" defaultRowHeight="16" x14ac:dyDescent="0.2"/>
  <cols>
    <col min="1" max="1" width="21.5" customWidth="1"/>
    <col min="9" max="9" width="40.6640625" customWidth="1"/>
  </cols>
  <sheetData>
    <row r="1" spans="1:9" x14ac:dyDescent="0.2">
      <c r="B1" s="14"/>
      <c r="C1" s="14"/>
      <c r="D1" s="14"/>
      <c r="E1" s="14"/>
      <c r="F1" s="14"/>
      <c r="G1" s="14"/>
      <c r="H1" s="14"/>
      <c r="I1" s="14"/>
    </row>
    <row r="2" spans="1:9" ht="47" x14ac:dyDescent="0.55000000000000004">
      <c r="A2" s="15" t="s">
        <v>424</v>
      </c>
      <c r="B2" s="16"/>
      <c r="C2" s="16"/>
      <c r="D2" s="16"/>
      <c r="E2" s="16"/>
      <c r="F2" s="16"/>
      <c r="G2" s="16"/>
      <c r="H2" s="16"/>
      <c r="I2" s="17"/>
    </row>
    <row r="3" spans="1:9" ht="31" x14ac:dyDescent="0.2">
      <c r="A3" s="18" t="s">
        <v>425</v>
      </c>
      <c r="B3" s="19" t="s">
        <v>426</v>
      </c>
      <c r="C3" s="20"/>
      <c r="D3" s="20"/>
      <c r="E3" s="20"/>
      <c r="F3" s="20"/>
      <c r="G3" s="20"/>
      <c r="H3" s="20"/>
      <c r="I3" s="21"/>
    </row>
    <row r="4" spans="1:9" ht="41" customHeight="1" x14ac:dyDescent="0.2">
      <c r="A4" s="22" t="s">
        <v>427</v>
      </c>
      <c r="B4" s="23" t="s">
        <v>428</v>
      </c>
      <c r="C4" s="24"/>
      <c r="D4" s="24"/>
      <c r="E4" s="24"/>
      <c r="F4" s="24"/>
      <c r="G4" s="24"/>
      <c r="H4" s="24"/>
      <c r="I4" s="25"/>
    </row>
    <row r="5" spans="1:9" ht="17" x14ac:dyDescent="0.2">
      <c r="A5" s="26" t="s">
        <v>404</v>
      </c>
      <c r="B5" s="27" t="s">
        <v>429</v>
      </c>
      <c r="C5" s="28"/>
      <c r="D5" s="28"/>
      <c r="E5" s="28"/>
      <c r="F5" s="28"/>
      <c r="G5" s="28"/>
      <c r="H5" s="28"/>
      <c r="I5" s="29"/>
    </row>
    <row r="6" spans="1:9" ht="17" x14ac:dyDescent="0.2">
      <c r="A6" s="30" t="s">
        <v>405</v>
      </c>
      <c r="B6" s="31" t="s">
        <v>430</v>
      </c>
      <c r="C6" s="32"/>
      <c r="D6" s="32"/>
      <c r="E6" s="32"/>
      <c r="F6" s="32"/>
      <c r="G6" s="32"/>
      <c r="H6" s="32"/>
      <c r="I6" s="33"/>
    </row>
    <row r="7" spans="1:9" x14ac:dyDescent="0.2">
      <c r="A7" s="34" t="s">
        <v>406</v>
      </c>
      <c r="B7" s="35" t="s">
        <v>431</v>
      </c>
      <c r="C7" s="36"/>
      <c r="D7" s="36"/>
      <c r="E7" s="36"/>
      <c r="F7" s="36"/>
      <c r="G7" s="36"/>
      <c r="H7" s="36"/>
      <c r="I7" s="37"/>
    </row>
    <row r="8" spans="1:9" x14ac:dyDescent="0.2">
      <c r="A8" s="38" t="s">
        <v>418</v>
      </c>
      <c r="B8" s="31" t="s">
        <v>432</v>
      </c>
      <c r="C8" s="32"/>
      <c r="D8" s="32"/>
      <c r="E8" s="32"/>
      <c r="F8" s="32"/>
      <c r="G8" s="32"/>
      <c r="H8" s="32"/>
      <c r="I8" s="33"/>
    </row>
    <row r="9" spans="1:9" ht="17" x14ac:dyDescent="0.2">
      <c r="A9" s="39" t="s">
        <v>1</v>
      </c>
      <c r="B9" s="35" t="s">
        <v>433</v>
      </c>
      <c r="C9" s="36"/>
      <c r="D9" s="36"/>
      <c r="E9" s="36"/>
      <c r="F9" s="36"/>
      <c r="G9" s="36"/>
      <c r="H9" s="36"/>
      <c r="I9" s="37"/>
    </row>
    <row r="10" spans="1:9" x14ac:dyDescent="0.2">
      <c r="A10" s="38" t="s">
        <v>407</v>
      </c>
      <c r="B10" s="31" t="s">
        <v>434</v>
      </c>
      <c r="C10" s="32"/>
      <c r="D10" s="32"/>
      <c r="E10" s="32"/>
      <c r="F10" s="32"/>
      <c r="G10" s="32"/>
      <c r="H10" s="32"/>
      <c r="I10" s="33"/>
    </row>
    <row r="11" spans="1:9" x14ac:dyDescent="0.2">
      <c r="A11" s="34" t="s">
        <v>408</v>
      </c>
      <c r="B11" s="35" t="s">
        <v>435</v>
      </c>
      <c r="C11" s="36"/>
      <c r="D11" s="36"/>
      <c r="E11" s="36"/>
      <c r="F11" s="36"/>
      <c r="G11" s="36"/>
      <c r="H11" s="36"/>
      <c r="I11" s="37"/>
    </row>
    <row r="12" spans="1:9" ht="54" customHeight="1" x14ac:dyDescent="0.2">
      <c r="A12" s="38" t="s">
        <v>409</v>
      </c>
      <c r="B12" s="40" t="s">
        <v>436</v>
      </c>
      <c r="C12" s="41"/>
      <c r="D12" s="41"/>
      <c r="E12" s="41"/>
      <c r="F12" s="41"/>
      <c r="G12" s="41"/>
      <c r="H12" s="41"/>
      <c r="I12" s="42"/>
    </row>
    <row r="13" spans="1:9" ht="34" customHeight="1" x14ac:dyDescent="0.2">
      <c r="A13" s="43" t="s">
        <v>410</v>
      </c>
      <c r="B13" s="44" t="s">
        <v>437</v>
      </c>
      <c r="C13" s="45"/>
      <c r="D13" s="45"/>
      <c r="E13" s="45"/>
      <c r="F13" s="45"/>
      <c r="G13" s="45"/>
      <c r="H13" s="45"/>
      <c r="I13" s="46"/>
    </row>
    <row r="14" spans="1:9" ht="37" customHeight="1" x14ac:dyDescent="0.2">
      <c r="A14" s="47" t="s">
        <v>411</v>
      </c>
      <c r="B14" s="40" t="s">
        <v>438</v>
      </c>
      <c r="C14" s="41"/>
      <c r="D14" s="41"/>
      <c r="E14" s="41"/>
      <c r="F14" s="41"/>
      <c r="G14" s="41"/>
      <c r="H14" s="41"/>
      <c r="I14" s="42"/>
    </row>
    <row r="15" spans="1:9" ht="34" customHeight="1" x14ac:dyDescent="0.2">
      <c r="A15" s="43" t="s">
        <v>412</v>
      </c>
      <c r="B15" s="44" t="s">
        <v>439</v>
      </c>
      <c r="C15" s="45"/>
      <c r="D15" s="45"/>
      <c r="E15" s="45"/>
      <c r="F15" s="45"/>
      <c r="G15" s="45"/>
      <c r="H15" s="45"/>
      <c r="I15" s="46"/>
    </row>
    <row r="16" spans="1:9" ht="21" customHeight="1" x14ac:dyDescent="0.2">
      <c r="A16" s="48" t="s">
        <v>413</v>
      </c>
      <c r="B16" s="40" t="s">
        <v>440</v>
      </c>
      <c r="C16" s="41"/>
      <c r="D16" s="41"/>
      <c r="E16" s="41"/>
      <c r="F16" s="41"/>
      <c r="G16" s="41"/>
      <c r="H16" s="41"/>
      <c r="I16" s="42"/>
    </row>
    <row r="17" spans="1:9" ht="18" customHeight="1" x14ac:dyDescent="0.2">
      <c r="A17" s="43" t="s">
        <v>2</v>
      </c>
      <c r="B17" s="44" t="s">
        <v>441</v>
      </c>
      <c r="C17" s="45"/>
      <c r="D17" s="45"/>
      <c r="E17" s="45"/>
      <c r="F17" s="45"/>
      <c r="G17" s="45"/>
      <c r="H17" s="45"/>
      <c r="I17" s="46"/>
    </row>
    <row r="18" spans="1:9" ht="18" customHeight="1" x14ac:dyDescent="0.2">
      <c r="A18" s="47" t="s">
        <v>414</v>
      </c>
      <c r="B18" s="40" t="s">
        <v>442</v>
      </c>
      <c r="C18" s="41"/>
      <c r="D18" s="41"/>
      <c r="E18" s="41"/>
      <c r="F18" s="41"/>
      <c r="G18" s="41"/>
      <c r="H18" s="41"/>
      <c r="I18" s="42"/>
    </row>
    <row r="19" spans="1:9" ht="18" customHeight="1" x14ac:dyDescent="0.2">
      <c r="A19" s="49" t="s">
        <v>3</v>
      </c>
      <c r="B19" s="44" t="s">
        <v>443</v>
      </c>
      <c r="C19" s="45"/>
      <c r="D19" s="45"/>
      <c r="E19" s="45"/>
      <c r="F19" s="45"/>
      <c r="G19" s="45"/>
      <c r="H19" s="45"/>
      <c r="I19" s="46"/>
    </row>
    <row r="20" spans="1:9" ht="37" customHeight="1" x14ac:dyDescent="0.2">
      <c r="A20" s="50" t="s">
        <v>415</v>
      </c>
      <c r="B20" s="40" t="s">
        <v>444</v>
      </c>
      <c r="C20" s="41"/>
      <c r="D20" s="41"/>
      <c r="E20" s="41"/>
      <c r="F20" s="41"/>
      <c r="G20" s="41"/>
      <c r="H20" s="41"/>
      <c r="I20" s="42"/>
    </row>
    <row r="21" spans="1:9" ht="19" customHeight="1" x14ac:dyDescent="0.2">
      <c r="A21" s="43" t="s">
        <v>416</v>
      </c>
      <c r="B21" s="44" t="s">
        <v>445</v>
      </c>
      <c r="C21" s="45"/>
      <c r="D21" s="45"/>
      <c r="E21" s="45"/>
      <c r="F21" s="45"/>
      <c r="G21" s="45"/>
      <c r="H21" s="45"/>
      <c r="I21" s="46"/>
    </row>
    <row r="22" spans="1:9" ht="25" customHeight="1" x14ac:dyDescent="0.2">
      <c r="A22" s="51" t="s">
        <v>417</v>
      </c>
      <c r="B22" s="52" t="s">
        <v>446</v>
      </c>
      <c r="C22" s="53"/>
      <c r="D22" s="53"/>
      <c r="E22" s="53"/>
      <c r="F22" s="53"/>
      <c r="G22" s="53"/>
      <c r="H22" s="53"/>
      <c r="I22" s="54"/>
    </row>
  </sheetData>
  <mergeCells count="22">
    <mergeCell ref="B19:I19"/>
    <mergeCell ref="B20:I20"/>
    <mergeCell ref="B21:I21"/>
    <mergeCell ref="B22:I22"/>
    <mergeCell ref="B13:I13"/>
    <mergeCell ref="B14:I14"/>
    <mergeCell ref="B15:I15"/>
    <mergeCell ref="B16:I16"/>
    <mergeCell ref="B17:I17"/>
    <mergeCell ref="B18:I18"/>
    <mergeCell ref="B7:I7"/>
    <mergeCell ref="B8:I8"/>
    <mergeCell ref="B9:I9"/>
    <mergeCell ref="B10:I10"/>
    <mergeCell ref="B11:I11"/>
    <mergeCell ref="B12:I12"/>
    <mergeCell ref="B1:I1"/>
    <mergeCell ref="A2:I2"/>
    <mergeCell ref="B3:I3"/>
    <mergeCell ref="B4:I4"/>
    <mergeCell ref="B5:I5"/>
    <mergeCell ref="B6:I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FINAL_df_fake_MP_META_META_100R</vt:lpstr>
      <vt:lpstr>Column Name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cp:lastModifiedBy>
  <dcterms:modified xsi:type="dcterms:W3CDTF">2026-03-13T10:43:30Z</dcterms:modified>
</cp:coreProperties>
</file>