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4_01_8AM__EPCI_8_10_95__HQCS_5_1_5__minFsh5_grpFsh_2_RANDOM/"/>
    </mc:Choice>
  </mc:AlternateContent>
  <xr:revisionPtr revIDLastSave="0" documentId="8_{4C12C729-EEF7-7C43-A124-CD8863B4D371}" xr6:coauthVersionLast="47" xr6:coauthVersionMax="47" xr10:uidLastSave="{00000000-0000-0000-0000-000000000000}"/>
  <bookViews>
    <workbookView xWindow="1780" yWindow="1320" windowWidth="2764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3" i="1"/>
  <c r="K4" i="1"/>
  <c r="K5" i="1"/>
  <c r="K6" i="1"/>
  <c r="K7" i="1"/>
  <c r="K8" i="1"/>
  <c r="K9" i="1"/>
  <c r="K10" i="1"/>
  <c r="K11" i="1"/>
  <c r="K3" i="1"/>
  <c r="L20" i="1"/>
  <c r="L18" i="1"/>
  <c r="L16" i="1"/>
  <c r="L14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<sst xmlns="http://schemas.openxmlformats.org/spreadsheetml/2006/main" count="82" uniqueCount="42">
  <si>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</si>
  <si>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</si>
  <si>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</si>
  <si>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</si>
  <si>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</si>
  <si>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</si>
  <si>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</si>
  <si>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</si>
  <si>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</si>
  <si>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</si>
  <si>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</si>
  <si>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</si>
  <si>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</si>
  <si>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</si>
  <si>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</si>
  <si>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</si>
  <si>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</si>
  <si>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</si>
  <si>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</si>
  <si>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</si>
  <si>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</si>
  <si>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</si>
  <si>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</si>
  <si>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</si>
  <si>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</si>
  <si>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</si>
  <si>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</si>
  <si>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</si>
  <si>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</si>
  <si>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</si>
  <si>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</si>
  <si>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</si>
  <si>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</si>
  <si>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</si>
  <si>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</si>
  <si>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</si>
  <si>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</si>
  <si>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</si>
  <si>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</si>
  <si>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</si>
  <si>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Substsitutions</t>
  </si>
  <si>
    <t>APCI MP Statistics: Substsitutions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</si>
</sst>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1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1" fontId="0" fillId="0" borderId="0" xfId="0" applyNumberFormat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2" fontId="0" fillId="0" borderId="18" xfId="0" applyNumberFormat="1" applyBorder="1" applyAlignment="1">
      <alignment horizontal="right"/>
    </xf>
    <xf numFmtId="0" fontId="20" fillId="33" borderId="27" xfId="0" applyFont="1" applyFill="1" applyBorder="1" applyAlignment="1">
      <alignment vertical="center"/>
    </xf>
    <xf numFmtId="0" fontId="20" fillId="35" borderId="27" xfId="0" applyFont="1" applyFill="1" applyBorder="1" applyAlignment="1">
      <alignment vertical="center"/>
    </xf>
    <xf numFmtId="0" fontId="20" fillId="36" borderId="27" xfId="0" applyFont="1" applyFill="1" applyBorder="1"/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2" fontId="20" fillId="0" borderId="35" xfId="0" applyNumberFormat="1" applyFont="1" applyBorder="1" applyAlignment="1">
      <alignment horizontal="center"/>
    </xf>
    <xf numFmtId="2" fontId="20" fillId="33" borderId="27" xfId="0" applyNumberFormat="1" applyFont="1" applyFill="1" applyBorder="1" applyAlignment="1">
      <alignment vertical="center"/>
    </xf>
    <xf numFmtId="2" fontId="20" fillId="34" borderId="27" xfId="0" applyNumberFormat="1" applyFont="1" applyFill="1" applyBorder="1" applyAlignment="1">
      <alignment vertical="center"/>
    </xf>
    <xf numFmtId="1" fontId="20" fillId="33" borderId="27" xfId="0" applyNumberFormat="1" applyFont="1" applyFill="1" applyBorder="1" applyAlignment="1">
      <alignment vertical="center"/>
    </xf>
    <xf numFmtId="1" fontId="20" fillId="34" borderId="30" xfId="0" applyNumberFormat="1" applyFont="1" applyFill="1" applyBorder="1" applyAlignment="1">
      <alignment vertical="center"/>
    </xf>
    <xf numFmtId="1" fontId="20" fillId="34" borderId="27" xfId="0" applyNumberFormat="1" applyFont="1" applyFill="1" applyBorder="1" applyAlignment="1">
      <alignment vertical="center"/>
    </xf>
    <xf numFmtId="1" fontId="20" fillId="35" borderId="30" xfId="0" applyNumberFormat="1" applyFont="1" applyFill="1" applyBorder="1" applyAlignment="1">
      <alignment vertical="center"/>
    </xf>
    <xf numFmtId="1" fontId="20" fillId="35" borderId="27" xfId="0" applyNumberFormat="1" applyFont="1" applyFill="1" applyBorder="1" applyAlignment="1">
      <alignment vertical="center"/>
    </xf>
    <xf numFmtId="1" fontId="20" fillId="36" borderId="30" xfId="0" applyNumberFormat="1" applyFont="1" applyFill="1" applyBorder="1"/>
    <xf numFmtId="1" fontId="20" fillId="36" borderId="27" xfId="0" applyNumberFormat="1" applyFont="1" applyFill="1" applyBorder="1"/>
    <xf numFmtId="1" fontId="0" fillId="0" borderId="17" xfId="0" applyNumberFormat="1" applyBorder="1"/>
    <xf numFmtId="0" fontId="20" fillId="35" borderId="27" xfId="0" applyFont="1" applyFill="1" applyBorder="1" applyAlignment="1">
      <alignment horizontal="right" vertical="center"/>
    </xf>
    <xf numFmtId="0" fontId="20" fillId="36" borderId="27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O30" sqref="O30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customWidth="1"/>
    <col min="12" max="12" width="10.6640625" customWidth="1"/>
  </cols>
  <sheetData>
    <row r="1" spans="2:12" ht="25" thickBot="1" x14ac:dyDescent="0.25">
      <c r="B1" s="40" t="s">
        <v>40</v>
      </c>
      <c r="C1" s="41"/>
      <c r="D1" s="42"/>
      <c r="E1" s="1"/>
      <c r="F1" s="40" t="s">
        <v>41</v>
      </c>
      <c r="G1" s="41"/>
      <c r="H1" s="42"/>
      <c r="I1" s="1"/>
      <c r="J1" s="40" t="s">
        <v>17</v>
      </c>
      <c r="K1" s="41"/>
      <c r="L1" s="42"/>
    </row>
    <row r="2" spans="2:12" ht="19" x14ac:dyDescent="0.25">
      <c r="B2" s="11" t="s">
        <v>0</v>
      </c>
      <c r="C2" s="2" t="s">
        <v>1</v>
      </c>
      <c r="D2" s="78" t="s">
        <v>2</v>
      </c>
      <c r="F2" s="11" t="s">
        <v>0</v>
      </c>
      <c r="G2" s="2" t="s">
        <v>1</v>
      </c>
      <c r="H2" s="8" t="s">
        <v>2</v>
      </c>
      <c r="J2" s="11" t="s">
        <v>0</v>
      </c>
      <c r="K2" s="2" t="s">
        <v>1</v>
      </c>
      <c r="L2" s="8" t="s">
        <v>2</v>
      </c>
    </row>
    <row r="3" spans="2:12" x14ac:dyDescent="0.2">
      <c r="B3" s="12" t="s">
        <v>3</v>
      </c>
      <c r="C3" s="7">
        <v>7</v>
      </c>
      <c r="D3" s="9">
        <v>9.9310344827586192</v>
      </c>
      <c r="F3" s="12" t="s">
        <v>3</v>
      </c>
      <c r="G3" s="7">
        <v>2</v>
      </c>
      <c r="H3" s="9">
        <v>2.2133333333333298</v>
      </c>
      <c r="J3" s="12" t="s">
        <v>3</v>
      </c>
      <c r="K3" s="7">
        <f>C3/G3</f>
        <v>3.5</v>
      </c>
      <c r="L3" s="9">
        <f>D3/H3</f>
        <v>4.4869131699210696</v>
      </c>
    </row>
    <row r="4" spans="2:12" x14ac:dyDescent="0.2">
      <c r="B4" s="12" t="s">
        <v>4</v>
      </c>
      <c r="C4" s="7">
        <v>3</v>
      </c>
      <c r="D4" s="9">
        <v>4.3103448275862002</v>
      </c>
      <c r="F4" s="12" t="s">
        <v>4</v>
      </c>
      <c r="G4" s="7">
        <v>2</v>
      </c>
      <c r="H4" s="9">
        <v>2.1333333333333302</v>
      </c>
      <c r="J4" s="12" t="s">
        <v>4</v>
      </c>
      <c r="K4" s="7">
        <f t="shared" ref="K4:K11" si="0">C4/G4</f>
        <v>1.5</v>
      </c>
      <c r="L4" s="9">
        <f t="shared" ref="L4:L10" si="1">D4/H4</f>
        <v>2.0204741379310343</v>
      </c>
    </row>
    <row r="5" spans="2:12" x14ac:dyDescent="0.2">
      <c r="B5" s="12" t="s">
        <v>5</v>
      </c>
      <c r="C5" s="7">
        <v>1</v>
      </c>
      <c r="D5" s="9">
        <v>2.3039999999999998</v>
      </c>
      <c r="F5" s="12" t="s">
        <v>5</v>
      </c>
      <c r="G5" s="7">
        <v>1</v>
      </c>
      <c r="H5" s="9">
        <v>1.0375000000000001</v>
      </c>
      <c r="J5" s="12" t="s">
        <v>5</v>
      </c>
      <c r="K5" s="7">
        <f t="shared" si="0"/>
        <v>1</v>
      </c>
      <c r="L5" s="9">
        <f t="shared" si="1"/>
        <v>2.2207228915662647</v>
      </c>
    </row>
    <row r="6" spans="2:12" x14ac:dyDescent="0.2">
      <c r="B6" s="12" t="s">
        <v>6</v>
      </c>
      <c r="C6" s="7">
        <v>7</v>
      </c>
      <c r="D6" s="9">
        <v>14.3506944444444</v>
      </c>
      <c r="F6" s="12" t="s">
        <v>6</v>
      </c>
      <c r="G6" s="7">
        <v>5</v>
      </c>
      <c r="H6" s="9">
        <v>6.0421686746987904</v>
      </c>
      <c r="J6" s="12" t="s">
        <v>6</v>
      </c>
      <c r="K6" s="7">
        <f t="shared" si="0"/>
        <v>1.4</v>
      </c>
      <c r="L6" s="9">
        <f t="shared" si="1"/>
        <v>2.3750900077545087</v>
      </c>
    </row>
    <row r="7" spans="2:12" x14ac:dyDescent="0.2">
      <c r="B7" s="12" t="s">
        <v>7</v>
      </c>
      <c r="C7" s="7">
        <v>19</v>
      </c>
      <c r="D7" s="9">
        <v>33.064</v>
      </c>
      <c r="F7" s="12" t="s">
        <v>7</v>
      </c>
      <c r="G7" s="7">
        <v>6</v>
      </c>
      <c r="H7" s="9">
        <v>6.2687499999999998</v>
      </c>
      <c r="J7" s="12" t="s">
        <v>7</v>
      </c>
      <c r="K7" s="7">
        <f t="shared" si="0"/>
        <v>3.1666666666666665</v>
      </c>
      <c r="L7" s="9">
        <f t="shared" si="1"/>
        <v>5.2744167497507481</v>
      </c>
    </row>
    <row r="8" spans="2:12" x14ac:dyDescent="0.2">
      <c r="B8" s="12" t="s">
        <v>8</v>
      </c>
      <c r="C8" s="7">
        <v>88</v>
      </c>
      <c r="D8" s="9">
        <v>142.51724137931001</v>
      </c>
      <c r="F8" s="12" t="s">
        <v>8</v>
      </c>
      <c r="G8" s="7">
        <v>12</v>
      </c>
      <c r="H8" s="9">
        <v>13.373333333333299</v>
      </c>
      <c r="J8" s="12" t="s">
        <v>8</v>
      </c>
      <c r="K8" s="7">
        <f t="shared" si="0"/>
        <v>7.333333333333333</v>
      </c>
      <c r="L8" s="9">
        <f t="shared" si="1"/>
        <v>10.656822635541653</v>
      </c>
    </row>
    <row r="9" spans="2:12" x14ac:dyDescent="0.2">
      <c r="B9" s="12" t="s">
        <v>9</v>
      </c>
      <c r="C9" s="5">
        <v>18.260000000000002</v>
      </c>
      <c r="D9" s="9">
        <v>21.786551724137901</v>
      </c>
      <c r="F9" s="12" t="s">
        <v>9</v>
      </c>
      <c r="G9" s="5">
        <v>22.47</v>
      </c>
      <c r="H9" s="9">
        <v>23.371466666666599</v>
      </c>
      <c r="J9" s="12" t="s">
        <v>9</v>
      </c>
      <c r="K9" s="7">
        <f t="shared" si="0"/>
        <v>0.81263907432131743</v>
      </c>
      <c r="L9" s="9">
        <f t="shared" si="1"/>
        <v>0.93218590150402614</v>
      </c>
    </row>
    <row r="10" spans="2:12" x14ac:dyDescent="0.2">
      <c r="B10" s="12" t="s">
        <v>10</v>
      </c>
      <c r="C10" s="5">
        <v>1.19</v>
      </c>
      <c r="D10" s="9">
        <v>1.4193103448275799</v>
      </c>
      <c r="F10" s="12" t="s">
        <v>10</v>
      </c>
      <c r="G10" s="5">
        <v>1.4649999999999901</v>
      </c>
      <c r="H10" s="9">
        <v>1.5212000000000001</v>
      </c>
      <c r="J10" s="12" t="s">
        <v>10</v>
      </c>
      <c r="K10" s="7">
        <f t="shared" si="0"/>
        <v>0.81228668941980064</v>
      </c>
      <c r="L10" s="9">
        <f t="shared" si="1"/>
        <v>0.93302021090427278</v>
      </c>
    </row>
    <row r="11" spans="2:12" x14ac:dyDescent="0.2">
      <c r="B11" s="13" t="s">
        <v>11</v>
      </c>
      <c r="C11" s="6">
        <v>8.24</v>
      </c>
      <c r="D11" s="14" t="s">
        <v>16</v>
      </c>
      <c r="F11" s="13" t="s">
        <v>11</v>
      </c>
      <c r="G11" s="6">
        <v>4.0649999999999897</v>
      </c>
      <c r="H11" s="14" t="s">
        <v>16</v>
      </c>
      <c r="J11" s="13" t="s">
        <v>11</v>
      </c>
      <c r="K11" s="88">
        <f t="shared" si="0"/>
        <v>2.027060270602711</v>
      </c>
      <c r="L11" s="14" t="s">
        <v>16</v>
      </c>
    </row>
    <row r="12" spans="2:12" ht="17" thickBot="1" x14ac:dyDescent="0.25">
      <c r="H12" s="5"/>
    </row>
    <row r="13" spans="2:12" ht="19" x14ac:dyDescent="0.2">
      <c r="B13" s="47"/>
      <c r="C13" s="48"/>
      <c r="D13" s="19"/>
      <c r="E13" s="3"/>
      <c r="F13" s="18" t="s">
        <v>20</v>
      </c>
      <c r="G13" s="34"/>
      <c r="H13" s="19">
        <v>75</v>
      </c>
      <c r="J13" s="18"/>
      <c r="K13" s="34"/>
      <c r="L13" s="19"/>
    </row>
    <row r="14" spans="2:12" ht="20" thickBot="1" x14ac:dyDescent="0.25">
      <c r="B14" s="49" t="s">
        <v>20</v>
      </c>
      <c r="C14" s="50"/>
      <c r="D14" s="81">
        <v>29</v>
      </c>
      <c r="E14" s="3"/>
      <c r="F14" s="26" t="s">
        <v>29</v>
      </c>
      <c r="G14" s="27"/>
      <c r="H14" s="15">
        <v>0.75</v>
      </c>
      <c r="J14" s="26" t="s">
        <v>27</v>
      </c>
      <c r="K14" s="27"/>
      <c r="L14" s="79">
        <f>D14/H14</f>
        <v>38.666666666666664</v>
      </c>
    </row>
    <row r="15" spans="2:12" ht="19" x14ac:dyDescent="0.2">
      <c r="B15" s="51"/>
      <c r="C15" s="52"/>
      <c r="D15" s="82"/>
      <c r="E15" s="3"/>
      <c r="F15" s="20" t="s">
        <v>19</v>
      </c>
      <c r="G15" s="35"/>
      <c r="H15" s="21">
        <v>10</v>
      </c>
      <c r="J15" s="20"/>
      <c r="K15" s="35"/>
      <c r="L15" s="21"/>
    </row>
    <row r="16" spans="2:12" ht="20" thickBot="1" x14ac:dyDescent="0.25">
      <c r="B16" s="53" t="s">
        <v>19</v>
      </c>
      <c r="C16" s="54"/>
      <c r="D16" s="83">
        <v>22</v>
      </c>
      <c r="E16" s="4"/>
      <c r="F16" s="28" t="s">
        <v>18</v>
      </c>
      <c r="G16" s="29"/>
      <c r="H16" s="80">
        <v>0.1</v>
      </c>
      <c r="J16" s="28" t="s">
        <v>26</v>
      </c>
      <c r="K16" s="29"/>
      <c r="L16" s="83">
        <f>D16/H16</f>
        <v>220</v>
      </c>
    </row>
    <row r="17" spans="2:16" ht="19" x14ac:dyDescent="0.2">
      <c r="B17" s="67"/>
      <c r="C17" s="68"/>
      <c r="D17" s="84"/>
      <c r="F17" s="22" t="s">
        <v>21</v>
      </c>
      <c r="G17" s="36"/>
      <c r="H17" s="23">
        <v>0</v>
      </c>
      <c r="J17" s="22"/>
      <c r="K17" s="36"/>
      <c r="L17" s="23"/>
    </row>
    <row r="18" spans="2:16" ht="20" thickBot="1" x14ac:dyDescent="0.25">
      <c r="B18" s="69" t="s">
        <v>21</v>
      </c>
      <c r="C18" s="70"/>
      <c r="D18" s="85">
        <v>12</v>
      </c>
      <c r="E18" s="3"/>
      <c r="F18" s="30" t="s">
        <v>22</v>
      </c>
      <c r="G18" s="31"/>
      <c r="H18" s="16">
        <v>0</v>
      </c>
      <c r="J18" s="30" t="s">
        <v>28</v>
      </c>
      <c r="K18" s="31"/>
      <c r="L18" s="89" t="str">
        <f>IF(H18&lt;&gt;0,D18/H18,"&gt;"&amp;D18/0.01)</f>
        <v>&gt;1200</v>
      </c>
    </row>
    <row r="19" spans="2:16" ht="19" x14ac:dyDescent="0.25">
      <c r="B19" s="43"/>
      <c r="C19" s="44"/>
      <c r="D19" s="86"/>
      <c r="E19" s="3"/>
      <c r="F19" s="24" t="s">
        <v>23</v>
      </c>
      <c r="G19" s="37"/>
      <c r="H19" s="25">
        <v>0</v>
      </c>
      <c r="J19" s="24"/>
      <c r="K19" s="37"/>
      <c r="L19" s="25"/>
    </row>
    <row r="20" spans="2:16" ht="22" thickBot="1" x14ac:dyDescent="0.3">
      <c r="B20" s="45" t="s">
        <v>23</v>
      </c>
      <c r="C20" s="46"/>
      <c r="D20" s="87">
        <v>21</v>
      </c>
      <c r="E20" s="10"/>
      <c r="F20" s="32" t="s">
        <v>24</v>
      </c>
      <c r="G20" s="33"/>
      <c r="H20" s="17">
        <v>0</v>
      </c>
      <c r="J20" s="32" t="s">
        <v>23</v>
      </c>
      <c r="K20" s="33"/>
      <c r="L20" s="90" t="str">
        <f>IF(H20&lt;&gt;0,D20/H20,"&gt;"&amp;D20/0.01)</f>
        <v>&gt;2100</v>
      </c>
    </row>
    <row r="21" spans="2:16" ht="22" thickBot="1" x14ac:dyDescent="0.25">
      <c r="E21" s="10"/>
    </row>
    <row r="22" spans="2:16" ht="26" x14ac:dyDescent="0.2">
      <c r="B22" s="75" t="s">
        <v>38</v>
      </c>
      <c r="C22" s="76"/>
      <c r="D22" s="76"/>
      <c r="E22" s="76"/>
      <c r="F22" s="76"/>
      <c r="G22" s="76"/>
      <c r="H22" s="76"/>
      <c r="I22" s="76"/>
      <c r="J22" s="76"/>
      <c r="K22" s="77"/>
      <c r="P22" t="s">
        <v>25</v>
      </c>
    </row>
    <row r="23" spans="2:16" ht="17" x14ac:dyDescent="0.2">
      <c r="B23" s="38" t="s">
        <v>3</v>
      </c>
      <c r="C23" s="71" t="s">
        <v>30</v>
      </c>
      <c r="D23" s="71"/>
      <c r="E23" s="71"/>
      <c r="F23" s="71"/>
      <c r="G23" s="71"/>
      <c r="H23" s="71"/>
      <c r="I23" s="71"/>
      <c r="J23" s="71"/>
      <c r="K23" s="72"/>
    </row>
    <row r="24" spans="2:16" ht="17" x14ac:dyDescent="0.2">
      <c r="B24" s="38" t="s">
        <v>4</v>
      </c>
      <c r="C24" s="71" t="s">
        <v>31</v>
      </c>
      <c r="D24" s="71"/>
      <c r="E24" s="71"/>
      <c r="F24" s="71"/>
      <c r="G24" s="71"/>
      <c r="H24" s="71"/>
      <c r="I24" s="71"/>
      <c r="J24" s="71"/>
      <c r="K24" s="72"/>
    </row>
    <row r="25" spans="2:16" ht="17" x14ac:dyDescent="0.2">
      <c r="B25" s="38" t="s">
        <v>5</v>
      </c>
      <c r="C25" s="71" t="s">
        <v>32</v>
      </c>
      <c r="D25" s="71"/>
      <c r="E25" s="71"/>
      <c r="F25" s="71"/>
      <c r="G25" s="71"/>
      <c r="H25" s="71"/>
      <c r="I25" s="71"/>
      <c r="J25" s="71"/>
      <c r="K25" s="72"/>
    </row>
    <row r="26" spans="2:16" ht="17" x14ac:dyDescent="0.2">
      <c r="B26" s="38" t="s">
        <v>6</v>
      </c>
      <c r="C26" s="71" t="s">
        <v>33</v>
      </c>
      <c r="D26" s="71"/>
      <c r="E26" s="71"/>
      <c r="F26" s="71"/>
      <c r="G26" s="71"/>
      <c r="H26" s="71"/>
      <c r="I26" s="71"/>
      <c r="J26" s="71"/>
      <c r="K26" s="72"/>
    </row>
    <row r="27" spans="2:16" ht="20" customHeight="1" x14ac:dyDescent="0.2">
      <c r="B27" s="38" t="s">
        <v>7</v>
      </c>
      <c r="C27" s="71" t="s">
        <v>34</v>
      </c>
      <c r="D27" s="71"/>
      <c r="E27" s="71"/>
      <c r="F27" s="71"/>
      <c r="G27" s="71"/>
      <c r="H27" s="71"/>
      <c r="I27" s="71"/>
      <c r="J27" s="71"/>
      <c r="K27" s="72"/>
    </row>
    <row r="28" spans="2:16" ht="19" customHeight="1" x14ac:dyDescent="0.2">
      <c r="B28" s="38" t="s">
        <v>8</v>
      </c>
      <c r="C28" s="71" t="s">
        <v>35</v>
      </c>
      <c r="D28" s="71"/>
      <c r="E28" s="71"/>
      <c r="F28" s="71"/>
      <c r="G28" s="71"/>
      <c r="H28" s="71"/>
      <c r="I28" s="71"/>
      <c r="J28" s="71"/>
      <c r="K28" s="72"/>
    </row>
    <row r="29" spans="2:16" ht="17" x14ac:dyDescent="0.2">
      <c r="B29" s="38" t="s">
        <v>9</v>
      </c>
      <c r="C29" s="71" t="s">
        <v>36</v>
      </c>
      <c r="D29" s="71"/>
      <c r="E29" s="71"/>
      <c r="F29" s="71"/>
      <c r="G29" s="71"/>
      <c r="H29" s="71"/>
      <c r="I29" s="71"/>
      <c r="J29" s="71"/>
      <c r="K29" s="72"/>
    </row>
    <row r="30" spans="2:16" ht="17" x14ac:dyDescent="0.2">
      <c r="B30" s="38" t="s">
        <v>10</v>
      </c>
      <c r="C30" s="71" t="s">
        <v>37</v>
      </c>
      <c r="D30" s="71"/>
      <c r="E30" s="71"/>
      <c r="F30" s="71"/>
      <c r="G30" s="71"/>
      <c r="H30" s="71"/>
      <c r="I30" s="71"/>
      <c r="J30" s="71"/>
      <c r="K30" s="72"/>
    </row>
    <row r="31" spans="2:16" ht="17" thickBot="1" x14ac:dyDescent="0.25">
      <c r="B31" s="39" t="s">
        <v>11</v>
      </c>
      <c r="C31" s="73" t="s">
        <v>39</v>
      </c>
      <c r="D31" s="73"/>
      <c r="E31" s="73"/>
      <c r="F31" s="73"/>
      <c r="G31" s="73"/>
      <c r="H31" s="73"/>
      <c r="I31" s="73"/>
      <c r="J31" s="73"/>
      <c r="K31" s="74"/>
    </row>
    <row r="43" spans="18:20" ht="17" thickBot="1" x14ac:dyDescent="0.25"/>
    <row r="44" spans="18:20" ht="20" thickBot="1" x14ac:dyDescent="0.25">
      <c r="R44" s="55" t="s">
        <v>15</v>
      </c>
      <c r="S44" s="56"/>
      <c r="T44" s="57"/>
    </row>
    <row r="45" spans="18:20" ht="20" thickBot="1" x14ac:dyDescent="0.25">
      <c r="R45" s="58" t="s">
        <v>12</v>
      </c>
      <c r="S45" s="59"/>
      <c r="T45" s="60"/>
    </row>
    <row r="46" spans="18:20" ht="20" thickBot="1" x14ac:dyDescent="0.25">
      <c r="R46" s="61" t="s">
        <v>13</v>
      </c>
      <c r="S46" s="62"/>
      <c r="T46" s="63"/>
    </row>
    <row r="47" spans="18:20" ht="20" thickBot="1" x14ac:dyDescent="0.25">
      <c r="R47" s="64" t="s">
        <v>14</v>
      </c>
      <c r="S47" s="65"/>
      <c r="T47" s="66"/>
    </row>
  </sheetData>
  <mergeCells count="25"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  <mergeCell ref="F1:H1"/>
    <mergeCell ref="B19:C19"/>
    <mergeCell ref="B20:C20"/>
    <mergeCell ref="B1:D1"/>
    <mergeCell ref="J1:L1"/>
    <mergeCell ref="B13:C13"/>
    <mergeCell ref="B14:C14"/>
    <mergeCell ref="B15:C1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2026-04-01T23:02:38Z</dcterms:modified>
</cp:coreProperties>
</file>